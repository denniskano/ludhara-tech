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Tarifas" sheetId="2" state="visible" r:id="rId2"/>
    <sheet name="Regiones" sheetId="3" state="visible" r:id="rId3"/>
    <sheet name="Listas" sheetId="4" state="visible" r:id="rId4"/>
    <sheet name="Consideraciones" sheetId="5" state="visible" r:id="rId5"/>
  </sheets>
  <definedNames>
    <definedName name="Cloud_AWS">Regiones!$B$2:$B$28</definedName>
    <definedName name="Cloud_Azure">Regiones!$B$29:$B$60</definedName>
    <definedName name="Cloud_GCP">Regiones!$B$61:$B$90</definedName>
    <definedName name="AllClaves">Regiones!$G$2:$G$90</definedName>
    <definedName name="AllClouds">Listas!$A$2:$A$4</definedName>
    <definedName name="CL_PUBLIC_HOUR">Tarifas!$B$6</definedName>
    <definedName name="CL_PRIVATE_HOUR">Tarifas!$B$7</definedName>
    <definedName name="CL_XCLOUD_HOUR">Tarifas!$B$8</definedName>
    <definedName name="CL_XCLOUD_PREMIUM_HOUR">Tarifas!$B$9</definedName>
    <definedName name="CL_READ_GB">Tarifas!$B$10</definedName>
    <definedName name="CKU_HOUR">Tarifas!$B$14</definedName>
    <definedName name="KAFKA_IN_GB">Tarifas!$B$15</definedName>
    <definedName name="KAFKA_OUT_GB">Tarifas!$B$16</definedName>
    <definedName name="STORAGE_GB_MONTH">Tarifas!$B$17</definedName>
    <definedName name="CSP_PE_HOUR">Tarifas!$B$18</definedName>
    <definedName name="CSP_PE_GB">Tarifas!$B$19</definedName>
    <definedName name="HOURS_MONTH">Tarifas!$B$20</definedName>
    <definedName name="REPL_FACTOR">Tarifas!$B$21</definedName>
    <definedName name="CKU_IN_MBPS">Tarifas!$B$22</definedName>
    <definedName name="CKU_OUT_MBPS">Tarifas!$B$23</definedName>
    <definedName name="CKU_PARTITIONS">Tarifas!$B$24</definedName>
    <definedName name="_xlnm.Print_Titles" localSheetId="0">'Calculadora'!$1:$3</definedName>
    <definedName name="_xlnm.Print_Area" localSheetId="0">'Calculadora'!$A$1:$L$48</definedName>
    <definedName name="_xlnm._FilterDatabase" localSheetId="2" hidden="1">'Regiones'!$A$1:$G$200</definedName>
    <definedName name="_xlnm._FilterDatabase" localSheetId="4" hidden="1">'Consideraciones'!$A$2:$C$28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F1419"/>
      <sz val="18"/>
    </font>
    <font>
      <name val="Calibri"/>
      <i val="1"/>
      <color rgb="004A5560"/>
      <sz val="10"/>
    </font>
    <font>
      <name val="Calibri"/>
      <sz val="10"/>
    </font>
    <font>
      <name val="Calibri"/>
      <b val="1"/>
      <color rgb="000F1419"/>
      <sz val="11"/>
    </font>
    <font>
      <name val="Calibri"/>
      <color rgb="004A5560"/>
      <sz val="9"/>
    </font>
    <font>
      <name val="Calibri"/>
      <color rgb="000563C1"/>
      <sz val="9"/>
      <u val="single"/>
    </font>
    <font>
      <name val="Calibri"/>
      <color rgb="004A5560"/>
      <sz val="10"/>
    </font>
    <font>
      <name val="Calibri"/>
      <color rgb="000F1419"/>
      <sz val="11"/>
    </font>
    <font>
      <name val="Calibri"/>
      <b val="1"/>
      <sz val="11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i val="1"/>
      <color rgb="004A5560"/>
      <sz val="9"/>
    </font>
  </fonts>
  <fills count="13">
    <fill>
      <patternFill/>
    </fill>
    <fill>
      <patternFill patternType="gray125"/>
    </fill>
    <fill>
      <patternFill patternType="solid">
        <fgColor rgb="000F1419"/>
      </patternFill>
    </fill>
    <fill>
      <patternFill patternType="solid">
        <fgColor rgb="00FCE8C3"/>
      </patternFill>
    </fill>
    <fill>
      <patternFill patternType="solid">
        <fgColor rgb="00F8D4D2"/>
      </patternFill>
    </fill>
    <fill>
      <patternFill patternType="solid">
        <fgColor rgb="00FFF3BF"/>
      </patternFill>
    </fill>
    <fill>
      <patternFill patternType="solid">
        <fgColor rgb="000078D4"/>
      </patternFill>
    </fill>
    <fill>
      <patternFill patternType="solid">
        <fgColor rgb="00FF9900"/>
      </patternFill>
    </fill>
    <fill>
      <patternFill patternType="solid">
        <fgColor rgb="0000C4CC"/>
      </patternFill>
    </fill>
    <fill>
      <patternFill patternType="solid">
        <fgColor rgb="00171E27"/>
      </patternFill>
    </fill>
    <fill>
      <patternFill patternType="solid">
        <fgColor rgb="00F4F6F8"/>
      </patternFill>
    </fill>
    <fill>
      <patternFill patternType="solid">
        <fgColor rgb="00EEF6FF"/>
      </patternFill>
    </fill>
    <fill>
      <patternFill patternType="solid">
        <fgColor rgb="00D4F4F5"/>
      </patternFill>
    </fill>
  </fills>
  <borders count="6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/>
      <right/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/>
      <diagonal/>
    </border>
    <border>
      <left/>
      <right style="thin">
        <color rgb="00C5CDD6"/>
      </right>
      <top style="thin">
        <color rgb="00C5CDD6"/>
      </top>
      <bottom style="thin">
        <color rgb="00C5CDD6"/>
      </bottom>
      <diagonal/>
    </border>
    <border>
      <left/>
      <right/>
      <top style="thin">
        <color rgb="00C5CDD6"/>
      </top>
      <bottom style="thin">
        <color rgb="00C5CDD6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5" borderId="1" applyAlignment="1" pivotButton="0" quotePrefix="0" xfId="0">
      <alignment horizontal="left" vertical="center"/>
    </xf>
    <xf numFmtId="0" fontId="1" fillId="9" borderId="0" applyAlignment="1" pivotButton="0" quotePrefix="0" xfId="0">
      <alignment vertical="center"/>
    </xf>
    <xf numFmtId="0" fontId="4" fillId="0" borderId="1" pivotButton="0" quotePrefix="0" xfId="0"/>
    <xf numFmtId="165" fontId="9" fillId="10" borderId="1" applyAlignment="1" pivotButton="0" quotePrefix="0" xfId="0">
      <alignment horizontal="right" vertical="center"/>
    </xf>
    <xf numFmtId="0" fontId="9" fillId="10" borderId="1" pivotButton="0" quotePrefix="0" xfId="0"/>
    <xf numFmtId="0" fontId="6" fillId="0" borderId="1" pivotButton="0" quotePrefix="0" xfId="0"/>
    <xf numFmtId="3" fontId="5" fillId="5" borderId="1" applyAlignment="1" pivotButton="0" quotePrefix="0" xfId="0">
      <alignment horizontal="left" vertical="center"/>
    </xf>
    <xf numFmtId="0" fontId="0" fillId="0" borderId="4" pivotButton="0" quotePrefix="0" xfId="0"/>
    <xf numFmtId="164" fontId="9" fillId="10" borderId="1" pivotButton="0" quotePrefix="0" xfId="0"/>
    <xf numFmtId="0" fontId="4" fillId="10" borderId="0" applyAlignment="1" pivotButton="0" quotePrefix="0" xfId="0">
      <alignment vertical="top" wrapText="1"/>
    </xf>
    <xf numFmtId="0" fontId="4" fillId="11" borderId="1" pivotButton="0" quotePrefix="0" xfId="0"/>
    <xf numFmtId="0" fontId="6" fillId="11" borderId="1" pivotButton="0" quotePrefix="0" xfId="0"/>
    <xf numFmtId="3" fontId="9" fillId="10" borderId="1" pivotButton="0" quotePrefix="0" xfId="0"/>
    <xf numFmtId="0" fontId="10" fillId="0" borderId="0" pivotButton="0" quotePrefix="0" xfId="0"/>
    <xf numFmtId="165" fontId="10" fillId="12" borderId="1" applyAlignment="1" pivotButton="0" quotePrefix="0" xfId="0">
      <alignment horizontal="right" vertical="center"/>
    </xf>
    <xf numFmtId="0" fontId="11" fillId="2" borderId="0" pivotButton="0" quotePrefix="0" xfId="0"/>
    <xf numFmtId="165" fontId="12" fillId="2" borderId="1" pivotButton="0" quotePrefix="0" xfId="0"/>
    <xf numFmtId="0" fontId="13" fillId="0" borderId="0" pivotButton="0" quotePrefix="0" xfId="0"/>
    <xf numFmtId="165" fontId="9" fillId="10" borderId="1" pivotButton="0" quotePrefix="0" xfId="0"/>
    <xf numFmtId="0" fontId="0" fillId="0" borderId="5" pivotButton="0" quotePrefix="0" xfId="0"/>
    <xf numFmtId="0" fontId="0" fillId="0" borderId="1" pivotButton="0" quotePrefix="0" xfId="0"/>
    <xf numFmtId="165" fontId="0" fillId="10" borderId="1" pivotButton="0" quotePrefix="0" xfId="0"/>
    <xf numFmtId="0" fontId="8" fillId="0" borderId="0" pivotButton="0" quotePrefix="0" xfId="0"/>
    <xf numFmtId="0" fontId="9" fillId="10" borderId="1" applyAlignment="1" pivotButton="0" quotePrefix="0" xfId="0">
      <alignment vertical="center" wrapText="1"/>
    </xf>
    <xf numFmtId="0" fontId="3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pivotButton="0" quotePrefix="0" xfId="0"/>
    <xf numFmtId="165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1" fontId="5" fillId="5" borderId="1" applyAlignment="1" pivotButton="0" quotePrefix="0" xfId="0">
      <alignment horizontal="left" vertical="center"/>
    </xf>
    <xf numFmtId="1" fontId="0" fillId="0" borderId="1" pivotButton="0" quotePrefix="0" xfId="0"/>
    <xf numFmtId="0" fontId="7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D4D2"/>
        </patternFill>
      </fill>
    </dxf>
    <dxf>
      <fill>
        <patternFill patternType="solid">
          <fgColor rgb="00FCE8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USD / mes por bloque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00C4CC"/>
            </a:solidFill>
            <a:ln>
              <a:prstDash val="solid"/>
            </a:ln>
          </spPr>
          <cat>
            <numRef>
              <f>'Calculadora'!$I$33:$I$36</f>
            </numRef>
          </cat>
          <val>
            <numRef>
              <f>'Calculadora'!$J$33:$J$36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37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docs.confluent.io/cloud/current/billing/billing-dimensions.html" TargetMode="External" Id="rId1" /><Relationship Type="http://schemas.openxmlformats.org/officeDocument/2006/relationships/hyperlink" Target="https://docs.confluent.io/cloud/current/multi-cloud/cluster-linking/private-networking.html" TargetMode="External" Id="rId2" /><Relationship Type="http://schemas.openxmlformats.org/officeDocument/2006/relationships/hyperlink" Target="https://docs.confluent.io/cloud/current/get-started/regions.html" TargetMode="External" Id="rId3" /><Relationship Type="http://schemas.openxmlformats.org/officeDocument/2006/relationships/hyperlink" Target="https://docs.confluent.io/cloud/current/networking/private-links/azure-privatelink.html" TargetMode="External" Id="rId4" /><Relationship Type="http://schemas.openxmlformats.org/officeDocument/2006/relationships/hyperlink" Target="https://docs.confluent.io/cloud/current/networking/private-links/aws-privatelink.html" TargetMode="External" Id="rId5" /><Relationship Type="http://schemas.openxmlformats.org/officeDocument/2006/relationships/hyperlink" Target="https://docs.confluent.io/cloud/current/networking/private-links/gcp-private-service-connect.html" TargetMode="External" Id="rId6" /><Relationship Type="http://schemas.openxmlformats.org/officeDocument/2006/relationships/hyperlink" Target="https://docs.confluent.io/cloud/current/clusters/cluster-types.html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3" customWidth="1" min="4" max="4"/>
    <col width="22" customWidth="1" min="5" max="5"/>
    <col width="18" customWidth="1" min="6" max="6"/>
    <col width="16" customWidth="1" min="7" max="7"/>
    <col width="3" customWidth="1" min="8" max="8"/>
    <col width="28" customWidth="1" min="9" max="9"/>
    <col width="16" customWidth="1" min="10" max="10"/>
    <col width="48" customWidth="1" min="11" max="11"/>
    <col width="12" customWidth="1" min="12" max="12"/>
  </cols>
  <sheetData>
    <row r="1" ht="26" customHeight="1">
      <c r="A1" s="1" t="inlineStr">
        <is>
          <t>Calculadora Private Link · Confluent Cloud Dedicated</t>
        </is>
      </c>
    </row>
    <row r="2" ht="32" customHeight="1">
      <c r="A2" s="2" t="inlineStr">
        <is>
          <t>Celdas amarillas = input. El resto son fórmulas. Cluster Linking $0.25 / $0.50 / $2.50 / $5.00 y $0.25/GB son oficiales. Dedicated CKU/ingress/egress/storage: editar en hoja Tarifas con `confluent billing price list`.</t>
        </is>
      </c>
    </row>
    <row r="4">
      <c r="A4" s="3" t="inlineStr">
        <is>
          <t>Cluster A · source</t>
        </is>
      </c>
      <c r="B4" s="3" t="n"/>
      <c r="C4" s="3" t="n"/>
      <c r="E4" s="4" t="inlineStr">
        <is>
          <t>Cluster B · destination</t>
        </is>
      </c>
      <c r="F4" s="4" t="n"/>
      <c r="G4" s="4" t="n"/>
      <c r="I4" s="5" t="inlineStr">
        <is>
          <t>Estimado mensual USD</t>
        </is>
      </c>
      <c r="J4" s="5" t="n"/>
      <c r="K4" s="5" t="n"/>
      <c r="L4" s="5" t="n"/>
    </row>
    <row r="5" ht="18" customHeight="1">
      <c r="A5" s="6" t="inlineStr">
        <is>
          <t>Cloud</t>
        </is>
      </c>
      <c r="B5" s="7" t="inlineStr">
        <is>
          <t>Azure</t>
        </is>
      </c>
      <c r="E5" s="6" t="inlineStr">
        <is>
          <t>Cloud</t>
        </is>
      </c>
      <c r="F5" s="7" t="inlineStr">
        <is>
          <t>AWS</t>
        </is>
      </c>
      <c r="I5" s="8" t="inlineStr">
        <is>
          <t>Concepto</t>
        </is>
      </c>
      <c r="J5" s="8" t="inlineStr">
        <is>
          <t>USD / mes</t>
        </is>
      </c>
      <c r="K5" s="8" t="inlineStr">
        <is>
          <t>Cómo se calcula</t>
        </is>
      </c>
      <c r="L5" s="8" t="inlineStr">
        <is>
          <t>Bloque</t>
        </is>
      </c>
    </row>
    <row r="6" ht="18" customHeight="1">
      <c r="A6" s="6" t="inlineStr">
        <is>
          <t>Region</t>
        </is>
      </c>
      <c r="B6" s="7" t="inlineStr">
        <is>
          <t>eastus2</t>
        </is>
      </c>
      <c r="E6" s="6" t="inlineStr">
        <is>
          <t>Region</t>
        </is>
      </c>
      <c r="F6" s="7" t="inlineStr">
        <is>
          <t>us-east-1</t>
        </is>
      </c>
      <c r="I6" s="9" t="inlineStr">
        <is>
          <t>CKU cluster A</t>
        </is>
      </c>
      <c r="J6" s="10">
        <f>$B$8*CKU_HOUR*$F$17*HOURS_MONTH</f>
        <v/>
      </c>
      <c r="K6" s="11">
        <f>$B$8&amp;" CKU × "&amp;TEXT(CKU_HOUR*$F$17,"$0.00")&amp;"/h × "&amp;HOURS_MONTH&amp;"h"</f>
        <v/>
      </c>
      <c r="L6" s="12" t="inlineStr">
        <is>
          <t>Confluent</t>
        </is>
      </c>
    </row>
    <row r="7" ht="18" customHeight="1">
      <c r="A7" s="6" t="inlineStr">
        <is>
          <t>Availability</t>
        </is>
      </c>
      <c r="B7" s="7" t="inlineStr">
        <is>
          <t>Multi-zone</t>
        </is>
      </c>
      <c r="E7" s="6" t="inlineStr">
        <is>
          <t>Availability</t>
        </is>
      </c>
      <c r="F7" s="7" t="inlineStr">
        <is>
          <t>Multi-zone</t>
        </is>
      </c>
      <c r="I7" s="9" t="inlineStr">
        <is>
          <t>CKU cluster B</t>
        </is>
      </c>
      <c r="J7" s="10">
        <f>$F$8*CKU_HOUR*$F$20*HOURS_MONTH</f>
        <v/>
      </c>
      <c r="K7" s="11">
        <f>$F$8&amp;" CKU × "&amp;TEXT(CKU_HOUR*$F$20,"$0.00")&amp;"/h × "&amp;HOURS_MONTH&amp;"h"</f>
        <v/>
      </c>
      <c r="L7" s="12" t="inlineStr">
        <is>
          <t>Confluent</t>
        </is>
      </c>
    </row>
    <row r="8" ht="18" customHeight="1">
      <c r="A8" s="6" t="inlineStr">
        <is>
          <t>CKU</t>
        </is>
      </c>
      <c r="B8" s="13" t="n">
        <v>2</v>
      </c>
      <c r="E8" s="6" t="inlineStr">
        <is>
          <t>CKU</t>
        </is>
      </c>
      <c r="F8" s="13" t="n">
        <v>2</v>
      </c>
      <c r="I8" s="9" t="inlineStr">
        <is>
          <t>Kafka ingress clientes A</t>
        </is>
      </c>
      <c r="J8" s="10">
        <f>$B$10*KAFKA_IN_GB*$F$17</f>
        <v/>
      </c>
      <c r="K8" s="11">
        <f>$B$10&amp;" GB × "&amp;TEXT(KAFKA_IN_GB*$F$17,"$0.00")</f>
        <v/>
      </c>
      <c r="L8" s="12" t="inlineStr">
        <is>
          <t>Confluent</t>
        </is>
      </c>
    </row>
    <row r="9" ht="18" customHeight="1">
      <c r="A9" s="6" t="inlineStr">
        <is>
          <t>VNets / VPCs cliente</t>
        </is>
      </c>
      <c r="B9" s="13" t="n">
        <v>1</v>
      </c>
      <c r="E9" s="6" t="inlineStr">
        <is>
          <t>VNets / VPCs cliente</t>
        </is>
      </c>
      <c r="F9" s="13" t="n">
        <v>1</v>
      </c>
      <c r="I9" s="9" t="inlineStr">
        <is>
          <t>Kafka ingress clientes B</t>
        </is>
      </c>
      <c r="J9" s="10">
        <f>$F$10*KAFKA_IN_GB*$F$20</f>
        <v/>
      </c>
      <c r="K9" s="11">
        <f>$F$10&amp;" GB × "&amp;TEXT(KAFKA_IN_GB*$F$20,"$0.00")</f>
        <v/>
      </c>
      <c r="L9" s="12" t="inlineStr">
        <is>
          <t>Confluent</t>
        </is>
      </c>
    </row>
    <row r="10" ht="18" customHeight="1">
      <c r="A10" s="6" t="inlineStr">
        <is>
          <t>Produce cliente (GB/mes)</t>
        </is>
      </c>
      <c r="B10" s="13" t="n">
        <v>400</v>
      </c>
      <c r="E10" s="6" t="inlineStr">
        <is>
          <t>Produce cliente (GB/mes)</t>
        </is>
      </c>
      <c r="F10" s="13" t="n">
        <v>0</v>
      </c>
      <c r="I10" s="9" t="inlineStr">
        <is>
          <t>Kafka egress clientes A</t>
        </is>
      </c>
      <c r="J10" s="10">
        <f>$B$11*KAFKA_OUT_GB*$F$17</f>
        <v/>
      </c>
      <c r="K10" s="11">
        <f>$B$11&amp;" GB × "&amp;TEXT(KAFKA_OUT_GB*$F$17,"$0.00")</f>
        <v/>
      </c>
      <c r="L10" s="12" t="inlineStr">
        <is>
          <t>Confluent</t>
        </is>
      </c>
    </row>
    <row r="11" ht="18" customHeight="1">
      <c r="A11" s="6" t="inlineStr">
        <is>
          <t>Consume cliente (GB/mes)</t>
        </is>
      </c>
      <c r="B11" s="13" t="n">
        <v>800</v>
      </c>
      <c r="E11" s="6" t="inlineStr">
        <is>
          <t>Consume cliente (GB/mes)</t>
        </is>
      </c>
      <c r="F11" s="13" t="n">
        <v>400</v>
      </c>
      <c r="I11" s="9" t="inlineStr">
        <is>
          <t>Kafka egress clientes B</t>
        </is>
      </c>
      <c r="J11" s="10">
        <f>$F$11*KAFKA_OUT_GB*$F$20</f>
        <v/>
      </c>
      <c r="K11" s="11">
        <f>$F$11&amp;" GB × "&amp;TEXT(KAFKA_OUT_GB*$F$20,"$0.00")</f>
        <v/>
      </c>
      <c r="L11" s="12" t="inlineStr">
        <is>
          <t>Confluent</t>
        </is>
      </c>
    </row>
    <row r="12" ht="18" customHeight="1">
      <c r="A12" s="6" t="inlineStr">
        <is>
          <t>Storage pre-RF (GB)</t>
        </is>
      </c>
      <c r="B12" s="13" t="n">
        <v>200</v>
      </c>
      <c r="E12" s="6" t="inlineStr">
        <is>
          <t>Storage pre-RF (GB)</t>
        </is>
      </c>
      <c r="F12" s="13" t="n">
        <v>200</v>
      </c>
      <c r="I12" s="9" t="inlineStr">
        <is>
          <t>Storage A (× RF)</t>
        </is>
      </c>
      <c r="J12" s="10">
        <f>$B$12*REPL_FACTOR*STORAGE_GB_MONTH</f>
        <v/>
      </c>
      <c r="K12" s="11">
        <f>$B$12&amp;" GB pre x "&amp;REPL_FACTOR&amp;" x "&amp;TEXT(STORAGE_GB_MONTH,"$0.00")</f>
        <v/>
      </c>
      <c r="L12" s="12" t="inlineStr">
        <is>
          <t>Confluent</t>
        </is>
      </c>
    </row>
    <row r="13">
      <c r="I13" s="9" t="inlineStr">
        <is>
          <t>Storage B (× RF)</t>
        </is>
      </c>
      <c r="J13" s="10">
        <f>$F$12*REPL_FACTOR*STORAGE_GB_MONTH</f>
        <v/>
      </c>
      <c r="K13" s="11">
        <f>$F$12&amp;" GB pre x "&amp;REPL_FACTOR&amp;" x "&amp;TEXT(STORAGE_GB_MONTH,"$0.00")</f>
        <v/>
      </c>
      <c r="L13" s="12" t="inlineStr">
        <is>
          <t>Confluent</t>
        </is>
      </c>
    </row>
    <row r="14">
      <c r="A14" s="5" t="inlineStr">
        <is>
          <t>Cluster Linking</t>
        </is>
      </c>
      <c r="B14" s="5" t="n"/>
      <c r="C14" s="5" t="n"/>
      <c r="E14" s="8" t="inlineStr">
        <is>
          <t>Diagnóstico (fórmulas)</t>
        </is>
      </c>
      <c r="F14" s="8" t="n"/>
      <c r="G14" s="8" t="n"/>
      <c r="I14" s="9" t="inlineStr">
        <is>
          <t>Cluster link hourly A</t>
        </is>
      </c>
      <c r="J14" s="10">
        <f>$F$25*$F$22*HOURS_MONTH</f>
        <v/>
      </c>
      <c r="K14" s="11">
        <f>TEXT($F$25,"$0.00")&amp;"/h × "&amp;$F$22&amp;" link(s) × "&amp;HOURS_MONTH&amp;"h"</f>
        <v/>
      </c>
      <c r="L14" s="12" t="inlineStr">
        <is>
          <t>Confluent</t>
        </is>
      </c>
    </row>
    <row r="15">
      <c r="A15" s="6" t="inlineStr">
        <is>
          <t>Direccion</t>
        </is>
      </c>
      <c r="B15" s="7" t="inlineStr">
        <is>
          <t>Unidirectional</t>
        </is>
      </c>
      <c r="E15" s="6" t="inlineStr">
        <is>
          <t>Premium A</t>
        </is>
      </c>
      <c r="F15" s="11">
        <f>IFERROR(INDEX(Regiones!$D$2:$D$90,MATCH($B$5&amp;"|"&amp;$B$6,Regiones!$G$2:$G$90,0)),"NO")</f>
        <v/>
      </c>
      <c r="G15" s="14" t="n"/>
      <c r="I15" s="9" t="inlineStr">
        <is>
          <t>Cluster link hourly B</t>
        </is>
      </c>
      <c r="J15" s="10">
        <f>$F$26*$F$22*HOURS_MONTH</f>
        <v/>
      </c>
      <c r="K15" s="11">
        <f>TEXT($F$26,"$0.00")&amp;"/h × "&amp;$F$22&amp;" link(s) × "&amp;HOURS_MONTH&amp;"h"</f>
        <v/>
      </c>
      <c r="L15" s="12" t="inlineStr">
        <is>
          <t>Confluent</t>
        </is>
      </c>
    </row>
    <row r="16">
      <c r="A16" s="6" t="inlineStr">
        <is>
          <t>Mirror A → B (GB/mes)</t>
        </is>
      </c>
      <c r="B16" s="13" t="n">
        <v>500</v>
      </c>
      <c r="E16" s="6" t="inlineStr">
        <is>
          <t>Jio A (sin PL)</t>
        </is>
      </c>
      <c r="F16" s="11">
        <f>IFERROR(INDEX(Regiones!$E$2:$E$90,MATCH($B$5&amp;"|"&amp;$B$6,Regiones!$G$2:$G$90,0)),"NO")</f>
        <v/>
      </c>
      <c r="G16" s="14" t="n"/>
      <c r="I16" s="9" t="inlineStr">
        <is>
          <t>ClusterLinkingRead A→B</t>
        </is>
      </c>
      <c r="J16" s="10">
        <f>$F$23*CL_READ_GB*$F$17</f>
        <v/>
      </c>
      <c r="K16" s="11">
        <f>$F$23&amp;" GB × "&amp;TEXT(CL_READ_GB,"$0.00")&amp;" × "&amp;$F$17</f>
        <v/>
      </c>
      <c r="L16" s="12" t="inlineStr">
        <is>
          <t>Confluent</t>
        </is>
      </c>
    </row>
    <row r="17">
      <c r="A17" s="6" t="inlineStr">
        <is>
          <t>Mirror B → A (GB/mes)</t>
        </is>
      </c>
      <c r="B17" s="13" t="n">
        <v>0</v>
      </c>
      <c r="E17" s="6" t="inlineStr">
        <is>
          <t>Multiplier A</t>
        </is>
      </c>
      <c r="F17" s="15">
        <f>IFERROR(INDEX(Regiones!$F$2:$F$90,MATCH($B$5&amp;"|"&amp;$B$6,Regiones!$G$2:$G$90,0)),1)</f>
        <v/>
      </c>
      <c r="G17" s="14" t="n"/>
      <c r="I17" s="9" t="inlineStr">
        <is>
          <t>ClusterLinkingWrite A→B</t>
        </is>
      </c>
      <c r="J17" s="10">
        <f>$F$23*KAFKA_IN_GB*$F$20</f>
        <v/>
      </c>
      <c r="K17" s="11">
        <f>$F$23&amp;" GB × dest KafkaNetworkWrite"</f>
        <v/>
      </c>
      <c r="L17" s="12" t="inlineStr">
        <is>
          <t>Confluent</t>
        </is>
      </c>
    </row>
    <row r="18">
      <c r="E18" s="6" t="inlineStr">
        <is>
          <t>Premium B</t>
        </is>
      </c>
      <c r="F18" s="11">
        <f>IFERROR(INDEX(Regiones!$D$2:$D$90,MATCH($F$5&amp;"|"&amp;$F$6,Regiones!$G$2:$G$90,0)),"NO")</f>
        <v/>
      </c>
      <c r="G18" s="14" t="n"/>
      <c r="I18" s="9" t="inlineStr">
        <is>
          <t>ClusterLinkingRead B→A</t>
        </is>
      </c>
      <c r="J18" s="10">
        <f>$F$24*CL_READ_GB*$F$20</f>
        <v/>
      </c>
      <c r="K18" s="11">
        <f>$F$24&amp;" GB × "&amp;TEXT(CL_READ_GB,"$0.00")&amp;" × "&amp;$F$20</f>
        <v/>
      </c>
      <c r="L18" s="12" t="inlineStr">
        <is>
          <t>Confluent</t>
        </is>
      </c>
    </row>
    <row r="19">
      <c r="A19" s="8" t="inlineStr">
        <is>
          <t>Cómo usar</t>
        </is>
      </c>
      <c r="B19" s="8" t="n"/>
      <c r="C19" s="8" t="n"/>
      <c r="E19" s="6" t="inlineStr">
        <is>
          <t>Jio B (sin PL)</t>
        </is>
      </c>
      <c r="F19" s="11">
        <f>IFERROR(INDEX(Regiones!$E$2:$E$90,MATCH($F$5&amp;"|"&amp;$F$6,Regiones!$G$2:$G$90,0)),"NO")</f>
        <v/>
      </c>
      <c r="G19" s="14" t="n"/>
      <c r="I19" s="9" t="inlineStr">
        <is>
          <t>ClusterLinkingWrite B→A</t>
        </is>
      </c>
      <c r="J19" s="10">
        <f>$F$24*KAFKA_IN_GB*$F$17</f>
        <v/>
      </c>
      <c r="K19" s="11">
        <f>$F$24&amp;" GB × dest KafkaNetworkWrite"</f>
        <v/>
      </c>
      <c r="L19" s="12" t="inlineStr">
        <is>
          <t>Confluent</t>
        </is>
      </c>
    </row>
    <row r="20">
      <c r="A20" s="16" t="inlineStr">
        <is>
          <t>1. Elige Cloud y Region de A y B (el dropdown de Region depende del Cloud).
2. Multi-zone Dedicated exige mínimo 2 CKU y 3 endpoints (Azure/GCP) o 1 VPCE en 3 AZ (AWS).
3. Dirección: Unidirectional = 1 link; Bidirectional = 2; None = 0. El objeto se cobra aunque GB = 0.
4. Cross-cloud + ambos private: hourly $2.50, o $5.00 si Premium (hoja Regiones).
5. Intra-cloud private: $0.50/h × multiplier de esa región.
6. ClusterLinkingWrite = Kafka ingress del destination. No se cobra Kafka ingress extra.
7. ClusterLinkingRead = $0.25/GB (oficial). Confluent paga el egress del cloud provider.
8. Private-to-private Dedicated exige la MISMA Confluent Cloud Organization.
9. Un cluster existente NO se convierte a Private Link. Jio no tiene PL.
10. Schema Registry, CLI y provisioning de ksqlDB siguen necesitando Internet.
11. Pega tus tarifas Dedicated reales en la hoja Tarifas.
12. GB = GiB (2^30). Billing en UTC.</t>
        </is>
      </c>
      <c r="E20" s="6" t="inlineStr">
        <is>
          <t>Multiplier B</t>
        </is>
      </c>
      <c r="F20" s="15">
        <f>IFERROR(INDEX(Regiones!$F$2:$F$90,MATCH($F$5&amp;"|"&amp;$F$6,Regiones!$G$2:$G$90,0)),1)</f>
        <v/>
      </c>
      <c r="G20" s="14" t="n"/>
      <c r="I20" s="17" t="inlineStr">
        <is>
          <t>CSP endpoints A</t>
        </is>
      </c>
      <c r="J20" s="10">
        <f>$F$29*CSP_PE_HOUR*HOURS_MONTH+($B$10+$B$11)*CSP_PE_GB</f>
        <v/>
      </c>
      <c r="K20" s="11">
        <f>$F$29&amp;" unidades + "&amp;($B$10+$B$11)&amp;" GB cliente"</f>
        <v/>
      </c>
      <c r="L20" s="18" t="inlineStr">
        <is>
          <t>CSP</t>
        </is>
      </c>
    </row>
    <row r="21">
      <c r="E21" s="6" t="inlineStr">
        <is>
          <t>Cross-cloud</t>
        </is>
      </c>
      <c r="F21" s="11">
        <f>$B$5&lt;&gt;$F$5</f>
        <v/>
      </c>
      <c r="G21" s="14" t="n"/>
      <c r="I21" s="17" t="inlineStr">
        <is>
          <t>CSP endpoints B</t>
        </is>
      </c>
      <c r="J21" s="10">
        <f>$F$30*CSP_PE_HOUR*HOURS_MONTH+($F$10+$F$11)*CSP_PE_GB</f>
        <v/>
      </c>
      <c r="K21" s="11">
        <f>$F$30&amp;" unidades + "&amp;($F$10+$F$11)&amp;" GB cliente"</f>
        <v/>
      </c>
      <c r="L21" s="18" t="inlineStr">
        <is>
          <t>CSP</t>
        </is>
      </c>
    </row>
    <row r="22">
      <c r="E22" s="6" t="inlineStr">
        <is>
          <t>Links</t>
        </is>
      </c>
      <c r="F22" s="19">
        <f>IF(OR($B$15="None",$B$15="Sin Cluster Linking"),0,IF($B$15="Bidirectional",2,1))</f>
        <v/>
      </c>
      <c r="G22" s="14" t="n"/>
      <c r="I22" s="20" t="inlineStr">
        <is>
          <t>Subtotal Confluent</t>
        </is>
      </c>
      <c r="J22" s="21">
        <f>SUMIF($L$6:$L$21,"Confluent",$J$6:$J$21)</f>
        <v/>
      </c>
    </row>
    <row r="23">
      <c r="E23" s="6" t="inlineStr">
        <is>
          <t>GB A→B efectivo</t>
        </is>
      </c>
      <c r="F23" s="19">
        <f>IF(OR($B$15="None",$B$15="Sin Cluster Linking"),0,$B$16)</f>
        <v/>
      </c>
      <c r="G23" s="14" t="n"/>
      <c r="I23" s="20" t="inlineStr">
        <is>
          <t>Subtotal CSP</t>
        </is>
      </c>
      <c r="J23" s="10">
        <f>SUMIF($L$6:$L$21,"CSP",$J$6:$J$21)</f>
        <v/>
      </c>
    </row>
    <row r="24">
      <c r="E24" s="6" t="inlineStr">
        <is>
          <t>GB B→A efectivo</t>
        </is>
      </c>
      <c r="F24" s="19">
        <f>IF($B$15="Bidirectional",$B$17,0)</f>
        <v/>
      </c>
      <c r="G24" s="14" t="n"/>
      <c r="I24" s="22" t="inlineStr">
        <is>
          <t>TOTAL USD / mes</t>
        </is>
      </c>
      <c r="J24" s="23">
        <f>J22+J23</f>
        <v/>
      </c>
      <c r="K24" s="24" t="inlineStr">
        <is>
          <t>Confluent + endpoints del cloud provider</t>
        </is>
      </c>
    </row>
    <row r="25">
      <c r="E25" s="6" t="inlineStr">
        <is>
          <t>Hourly A</t>
        </is>
      </c>
      <c r="F25" s="25">
        <f>IF($F$22=0,0,IF($F$21,IF($F$15="SI",CL_XCLOUD_PREMIUM_HOUR,CL_XCLOUD_HOUR),CL_PRIVATE_HOUR*$F$17))</f>
        <v/>
      </c>
      <c r="G25" s="14" t="n"/>
    </row>
    <row r="26">
      <c r="E26" s="6" t="inlineStr">
        <is>
          <t>Hourly B</t>
        </is>
      </c>
      <c r="F26" s="25">
        <f>IF($F$22=0,0,IF($F$21,IF($F$18="SI",CL_XCLOUD_PREMIUM_HOUR,CL_XCLOUD_HOUR),CL_PRIVATE_HOUR*$F$20))</f>
        <v/>
      </c>
      <c r="G26" s="14" t="n"/>
      <c r="I26" s="8" t="inlineStr">
        <is>
          <t>Private Link a provisionar</t>
        </is>
      </c>
    </row>
    <row r="27">
      <c r="E27" s="6" t="inlineStr">
        <is>
          <t>AZ por red A</t>
        </is>
      </c>
      <c r="F27" s="19">
        <f>IF($B$7="Single-zone",1,3)</f>
        <v/>
      </c>
      <c r="G27" s="14" t="n"/>
      <c r="I27" t="inlineStr">
        <is>
          <t>A</t>
        </is>
      </c>
      <c r="J27" s="11">
        <f>$F$31&amp;" x "&amp;$F$33</f>
        <v/>
      </c>
      <c r="K27" s="26" t="n"/>
      <c r="L27" s="14" t="n"/>
    </row>
    <row r="28">
      <c r="E28" s="6" t="inlineStr">
        <is>
          <t>AZ por red B</t>
        </is>
      </c>
      <c r="F28" s="19">
        <f>IF($F$7="Single-zone",1,3)</f>
        <v/>
      </c>
      <c r="G28" s="14" t="n"/>
      <c r="I28" t="inlineStr">
        <is>
          <t>B</t>
        </is>
      </c>
      <c r="J28" s="11">
        <f>$F$32&amp;" x "&amp;$F$34</f>
        <v/>
      </c>
      <c r="K28" s="26" t="n"/>
      <c r="L28" s="14" t="n"/>
    </row>
    <row r="29">
      <c r="E29" s="6" t="inlineStr">
        <is>
          <t>Unidades CSP A</t>
        </is>
      </c>
      <c r="F29" s="19">
        <f>$B$9*$F$27</f>
        <v/>
      </c>
      <c r="G29" s="14" t="n"/>
      <c r="I29" t="inlineStr">
        <is>
          <t>DNS por cluster</t>
        </is>
      </c>
      <c r="J29" s="11">
        <f>IF($B$7="Single-zone","* + 1 zonal (A records)","* + 3 zonales (A/CNAME). No hardcodear brokers.")</f>
        <v/>
      </c>
      <c r="K29" s="26" t="n"/>
      <c r="L29" s="14" t="n"/>
    </row>
    <row r="30">
      <c r="E30" s="6" t="inlineStr">
        <is>
          <t>Unidades CSP B</t>
        </is>
      </c>
      <c r="F30" s="19">
        <f>$F$9*$F$28</f>
        <v/>
      </c>
      <c r="G30" s="14" t="n"/>
      <c r="I30" t="inlineStr">
        <is>
          <t>CKU A / B vs guía</t>
        </is>
      </c>
      <c r="J30" s="11">
        <f>$B$8&amp;" / "&amp;$F$8&amp;" (sugerido "&amp;$F$38&amp;" / "&amp;$F$39&amp;")"</f>
        <v/>
      </c>
      <c r="K30" s="26" t="n"/>
      <c r="L30" s="14" t="n"/>
    </row>
    <row r="31">
      <c r="E31" s="6" t="inlineStr">
        <is>
          <t>Endpoints a crear A</t>
        </is>
      </c>
      <c r="F31" s="19">
        <f>IF($B$5="AWS",$B$9,$B$9*$F$27)</f>
        <v/>
      </c>
      <c r="G31" s="14" t="n"/>
    </row>
    <row r="32">
      <c r="E32" s="6" t="inlineStr">
        <is>
          <t>Endpoints a crear B</t>
        </is>
      </c>
      <c r="F32" s="19">
        <f>IF($F$5="AWS",$F$9,$F$9*$F$28)</f>
        <v/>
      </c>
      <c r="G32" s="14" t="n"/>
      <c r="I32" s="8" t="inlineStr">
        <is>
          <t>Gráfico</t>
        </is>
      </c>
      <c r="J32" s="8" t="n"/>
    </row>
    <row r="33">
      <c r="E33" s="6" t="inlineStr">
        <is>
          <t>Tipo endpoint A</t>
        </is>
      </c>
      <c r="F33" s="11">
        <f>IF($B$5="AWS","VPC endpoint (1 × N AZ)",IF($B$5="Azure","Private Endpoints","PSC endpoints"))</f>
        <v/>
      </c>
      <c r="G33" s="14" t="n"/>
      <c r="I33" s="27" t="inlineStr">
        <is>
          <t>CKU</t>
        </is>
      </c>
      <c r="J33" s="28">
        <f>J6+J7</f>
        <v/>
      </c>
    </row>
    <row r="34">
      <c r="E34" s="6" t="inlineStr">
        <is>
          <t>Tipo endpoint B</t>
        </is>
      </c>
      <c r="F34" s="11">
        <f>IF($F$5="AWS","VPC endpoint (1 × N AZ)",IF($F$5="Azure","Private Endpoints","PSC endpoints"))</f>
        <v/>
      </c>
      <c r="G34" s="14" t="n"/>
      <c r="I34" s="27" t="inlineStr">
        <is>
          <t>Kafka in/out + storage</t>
        </is>
      </c>
      <c r="J34" s="28">
        <f>SUM(J8:J13)</f>
        <v/>
      </c>
    </row>
    <row r="35">
      <c r="E35" s="6" t="inlineStr">
        <is>
          <t>Región válida A</t>
        </is>
      </c>
      <c r="F35" s="11">
        <f>IF(COUNTIFS(Regiones!$A$2:$A$90,$B$5,Regiones!$B$2:$B$90,$B$6)=1,"OK","Region no coincide con cloud")</f>
        <v/>
      </c>
      <c r="G35" s="14" t="n"/>
      <c r="I35" s="27" t="inlineStr">
        <is>
          <t>Cluster Linking</t>
        </is>
      </c>
      <c r="J35" s="28">
        <f>SUM(J14:J19)</f>
        <v/>
      </c>
    </row>
    <row r="36">
      <c r="E36" s="6" t="inlineStr">
        <is>
          <t>Región válida B</t>
        </is>
      </c>
      <c r="F36" s="11">
        <f>IF(COUNTIFS(Regiones!$A$2:$A$90,$F$5,Regiones!$B$2:$B$90,$F$6)=1,"OK","Region no coincide con cloud")</f>
        <v/>
      </c>
      <c r="G36" s="14" t="n"/>
      <c r="I36" s="27" t="inlineStr">
        <is>
          <t>CSP Private Link</t>
        </is>
      </c>
      <c r="J36" s="28">
        <f>J23</f>
        <v/>
      </c>
    </row>
    <row r="37">
      <c r="E37" s="6" t="inlineStr">
        <is>
          <t>Mismo Organization</t>
        </is>
      </c>
      <c r="F37" s="11" t="inlineStr">
        <is>
          <t>OBLIGATORIO si ambos son private Dedicated</t>
        </is>
      </c>
      <c r="G37" s="14" t="n"/>
    </row>
    <row r="38">
      <c r="E38" s="29" t="inlineStr">
        <is>
          <t>CKU sugerido A</t>
        </is>
      </c>
      <c r="F38" s="19">
        <f>MAX(IF($B$7="Multi-zone",2,1),ROUNDUP(MAX((($B$10+$F$24)*1024)/(HOURS_MONTH*3600)/CKU_IN_MBPS,(($B$11+$F$23)*1024)/(HOURS_MONTH*3600)/CKU_OUT_MBPS),0))</f>
        <v/>
      </c>
      <c r="G38" s="14" t="n"/>
    </row>
    <row r="39">
      <c r="E39" s="29" t="inlineStr">
        <is>
          <t>CKU sugerido B</t>
        </is>
      </c>
      <c r="F39" s="19">
        <f>MAX(IF($F$7="Multi-zone",2,1),ROUNDUP(MAX((($F$10+$F$23)*1024)/(HOURS_MONTH*3600)/CKU_IN_MBPS,(($F$11+$F$24)*1024)/(HOURS_MONTH*3600)/CKU_OUT_MBPS),0))</f>
        <v/>
      </c>
      <c r="G39" s="14" t="n"/>
    </row>
    <row r="40" ht="32" customHeight="1">
      <c r="E40" s="29" t="inlineStr">
        <is>
          <t>Alerta CKU / Jio / PL</t>
        </is>
      </c>
      <c r="F40" s="30">
        <f>IF(OR($F$16="SI",$F$19="SI"),"Jio: no Private Link. ","")&amp;IF(OR($B$8&lt;$F$38,$F$8&lt;$F$39),"CKU por debajo de la guia. ","")&amp;IF(OR(AND($B$7="Multi-zone",$B$8&lt;2),AND($F$7="Multi-zone",$F$8&lt;2)),"Multi-zone exige 2 CKU. ","")&amp;IF($F$21,"Cross-cloud private Cluster Linking. ","Intra-cloud private. ")&amp;IF(OR($F$15="SI",$F$18="SI"),"Premium region $5.00/h. ","")&amp;IF($F$22=2,"Bidirectional = 2 links. ","")&amp;IF(OR($F$35&lt;&gt;"OK",$F$36&lt;&gt;"OK"),"Region no coincide con cloud.","")</f>
        <v/>
      </c>
      <c r="G40" s="14" t="n"/>
    </row>
  </sheetData>
  <mergeCells count="41">
    <mergeCell ref="F29:G29"/>
    <mergeCell ref="F16:G16"/>
    <mergeCell ref="F19:G19"/>
    <mergeCell ref="F25:G25"/>
    <mergeCell ref="F34:G34"/>
    <mergeCell ref="I4:L4"/>
    <mergeCell ref="J27:L27"/>
    <mergeCell ref="F40:G40"/>
    <mergeCell ref="F21:G21"/>
    <mergeCell ref="A2:L2"/>
    <mergeCell ref="F24:G24"/>
    <mergeCell ref="F30:G30"/>
    <mergeCell ref="F15:G15"/>
    <mergeCell ref="A14:C14"/>
    <mergeCell ref="F20:G20"/>
    <mergeCell ref="F18:G18"/>
    <mergeCell ref="F33:G33"/>
    <mergeCell ref="F36:G36"/>
    <mergeCell ref="F32:G32"/>
    <mergeCell ref="A4:C4"/>
    <mergeCell ref="F26:G26"/>
    <mergeCell ref="F17:G17"/>
    <mergeCell ref="F35:G35"/>
    <mergeCell ref="A19:C19"/>
    <mergeCell ref="I26:L26"/>
    <mergeCell ref="F38:G38"/>
    <mergeCell ref="F23:G23"/>
    <mergeCell ref="F31:G31"/>
    <mergeCell ref="F22:G22"/>
    <mergeCell ref="F28:G28"/>
    <mergeCell ref="F27:G27"/>
    <mergeCell ref="I22"/>
    <mergeCell ref="A20:C37"/>
    <mergeCell ref="J29:L29"/>
    <mergeCell ref="F37:G37"/>
    <mergeCell ref="F39:G39"/>
    <mergeCell ref="E14:G14"/>
    <mergeCell ref="J28:L28"/>
    <mergeCell ref="A1:L1"/>
    <mergeCell ref="E4:G4"/>
    <mergeCell ref="J30:L30"/>
  </mergeCells>
  <conditionalFormatting sqref="F35:G36">
    <cfRule type="expression" priority="1" dxfId="0">
      <formula>$F$35&lt;&gt;"OK"</formula>
    </cfRule>
  </conditionalFormatting>
  <conditionalFormatting sqref="F16">
    <cfRule type="expression" priority="2" dxfId="0">
      <formula>$F$16="SI"</formula>
    </cfRule>
  </conditionalFormatting>
  <conditionalFormatting sqref="F19">
    <cfRule type="expression" priority="3" dxfId="0">
      <formula>$F$19="SI"</formula>
    </cfRule>
  </conditionalFormatting>
  <conditionalFormatting sqref="F15">
    <cfRule type="expression" priority="4" dxfId="1">
      <formula>$F$15="SI"</formula>
    </cfRule>
  </conditionalFormatting>
  <conditionalFormatting sqref="F18">
    <cfRule type="expression" priority="5" dxfId="1">
      <formula>$F$18="SI"</formula>
    </cfRule>
  </conditionalFormatting>
  <dataValidations count="5">
    <dataValidation sqref="B5 F5" showDropDown="0" showInputMessage="1" showErrorMessage="1" allowBlank="0" errorTitle="Cloud" error="Elige AWS, Azure o GCP" type="list">
      <formula1>=AllClouds</formula1>
    </dataValidation>
    <dataValidation sqref="B7 F7" showDropDown="0" showInputMessage="1" showErrorMessage="1" allowBlank="0" type="list">
      <formula1>=Listas!$B$2:$B$3</formula1>
    </dataValidation>
    <dataValidation sqref="B15" showDropDown="0" showInputMessage="1" showErrorMessage="1" allowBlank="0" type="list">
      <formula1>=Listas!$C$2:$C$4</formula1>
    </dataValidation>
    <dataValidation sqref="B6" showDropDown="0" showInputMessage="1" showErrorMessage="1" allowBlank="0" errorTitle="Region A" error="Elige una región del cloud de la celda B5. Cambia Cloud primero." type="list">
      <formula1>=INDIRECT("Cloud_"&amp;$B$5)</formula1>
    </dataValidation>
    <dataValidation sqref="F6" showDropDown="0" showInputMessage="1" showErrorMessage="1" allowBlank="0" errorTitle="Region B" error="Elige una región del cloud de la celda F5. Cambia Cloud primero." type="list">
      <formula1>=INDIRECT("Cloud_"&amp;$F$5)</formula1>
    </dataValidation>
  </dataValidations>
  <pageMargins left="0.75" right="0.75" top="1" bottom="1" header="0.5" footer="0.5"/>
  <pageSetup orientation="landscape" paperSize="9" fitToHeight="1" fitToWidth="1"/>
  <headerFooter>
    <oddHeader>&amp;LConfluent Cloud Dedicated · Private Link</oddHeader>
    <oddFooter>&amp;LUSD · GiB · Dedicated only. Cluster Linking list prices oficiales.&amp;RPágina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C4CC"/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78" customWidth="1" min="3" max="3"/>
  </cols>
  <sheetData>
    <row r="1" ht="24" customHeight="1">
      <c r="A1" s="1" t="inlineStr">
        <is>
          <t>Tarifas y constantes</t>
        </is>
      </c>
    </row>
    <row r="2">
      <c r="A2" s="31" t="inlineStr">
        <is>
          <t>Amarillo = editable. Cluster Linking hourly/GB son list prices oficiales. Dedicated CKU/ingress/egress/storage no son list price público.</t>
        </is>
      </c>
    </row>
    <row r="4">
      <c r="A4" s="32" t="inlineStr">
        <is>
          <t>Cluster Linking (oficial, Billing Dimensions)</t>
        </is>
      </c>
    </row>
    <row r="5">
      <c r="A5" s="32" t="inlineStr">
        <is>
          <t>Clave</t>
        </is>
      </c>
      <c r="B5" s="32" t="inlineStr">
        <is>
          <t>USD</t>
        </is>
      </c>
      <c r="C5" s="32" t="inlineStr">
        <is>
          <t>Nota</t>
        </is>
      </c>
    </row>
    <row r="6">
      <c r="A6" s="33" t="inlineStr">
        <is>
          <t>CL_PUBLIC_HOUR</t>
        </is>
      </c>
      <c r="B6" s="34" t="n">
        <v>0.25</v>
      </c>
      <c r="C6" s="35" t="inlineStr">
        <is>
          <t>USD/h por cluster si el endpoint es internet</t>
        </is>
      </c>
    </row>
    <row r="7">
      <c r="A7" s="33" t="inlineStr">
        <is>
          <t>CL_PRIVATE_HOUR</t>
        </is>
      </c>
      <c r="B7" s="34" t="n">
        <v>0.5</v>
      </c>
      <c r="C7" s="35" t="inlineStr">
        <is>
          <t>USD/h por cluster intra-cloud private</t>
        </is>
      </c>
    </row>
    <row r="8">
      <c r="A8" s="33" t="inlineStr">
        <is>
          <t>CL_XCLOUD_HOUR</t>
        </is>
      </c>
      <c r="B8" s="34" t="n">
        <v>2.5</v>
      </c>
      <c r="C8" s="35" t="inlineStr">
        <is>
          <t>USD/h por cluster cross-cloud private</t>
        </is>
      </c>
    </row>
    <row r="9">
      <c r="A9" s="33" t="inlineStr">
        <is>
          <t>CL_XCLOUD_PREMIUM_HOUR</t>
        </is>
      </c>
      <c r="B9" s="34" t="n">
        <v>5</v>
      </c>
      <c r="C9" s="35" t="inlineStr">
        <is>
          <t>USD/h si esa región es Premium (docs Regions)</t>
        </is>
      </c>
    </row>
    <row r="10">
      <c r="A10" s="33" t="inlineStr">
        <is>
          <t>CL_READ_GB</t>
        </is>
      </c>
      <c r="B10" s="34" t="n">
        <v>0.25</v>
      </c>
      <c r="C10" s="35" t="inlineStr">
        <is>
          <t>USD/GB ClusterLinkingRead. Confluent paga egress CSP</t>
        </is>
      </c>
    </row>
    <row r="12">
      <c r="A12" s="32" t="inlineStr">
        <is>
          <t>Dedicated (editable — no es list price público)</t>
        </is>
      </c>
    </row>
    <row r="13">
      <c r="A13" s="32" t="inlineStr">
        <is>
          <t>Clave</t>
        </is>
      </c>
      <c r="B13" s="32" t="inlineStr">
        <is>
          <t>USD</t>
        </is>
      </c>
      <c r="C13" s="32" t="inlineStr">
        <is>
          <t>Nota</t>
        </is>
      </c>
    </row>
    <row r="14">
      <c r="A14" s="33" t="inlineStr">
        <is>
          <t>CKU_HOUR</t>
        </is>
      </c>
      <c r="B14" s="34" t="n">
        <v>1.5</v>
      </c>
      <c r="C14" s="35" t="inlineStr">
        <is>
          <t>USD/CKU-hora base. Sacar de: confluent billing price list</t>
        </is>
      </c>
    </row>
    <row r="15">
      <c r="A15" s="33" t="inlineStr">
        <is>
          <t>KAFKA_IN_GB</t>
        </is>
      </c>
      <c r="B15" s="34" t="n">
        <v>0.1</v>
      </c>
      <c r="C15" s="35" t="inlineStr">
        <is>
          <t>KafkaNetworkWrite USD/GB base</t>
        </is>
      </c>
    </row>
    <row r="16">
      <c r="A16" s="33" t="inlineStr">
        <is>
          <t>KAFKA_OUT_GB</t>
        </is>
      </c>
      <c r="B16" s="34" t="n">
        <v>0.05</v>
      </c>
      <c r="C16" s="35" t="inlineStr">
        <is>
          <t>KafkaNetworkRead USD/GB base</t>
        </is>
      </c>
    </row>
    <row r="17">
      <c r="A17" s="33" t="inlineStr">
        <is>
          <t>STORAGE_GB_MONTH</t>
        </is>
      </c>
      <c r="B17" s="34" t="n">
        <v>0.08</v>
      </c>
      <c r="C17" s="35" t="inlineStr">
        <is>
          <t>USD/GB-mes post-replication</t>
        </is>
      </c>
    </row>
    <row r="18">
      <c r="A18" s="33" t="inlineStr">
        <is>
          <t>CSP_PE_HOUR</t>
        </is>
      </c>
      <c r="B18" s="34" t="n">
        <v>0.01</v>
      </c>
      <c r="C18" s="35" t="inlineStr">
        <is>
          <t>Azure PE / AWS VPCE-AZ / GCP PSC USD/hora (list US)</t>
        </is>
      </c>
    </row>
    <row r="19">
      <c r="A19" s="33" t="inlineStr">
        <is>
          <t>CSP_PE_GB</t>
        </is>
      </c>
      <c r="B19" s="34" t="n">
        <v>0.01</v>
      </c>
      <c r="C19" s="35" t="inlineStr">
        <is>
          <t>CSP data processed USD/GB (list US)</t>
        </is>
      </c>
    </row>
    <row r="20">
      <c r="A20" s="33" t="inlineStr">
        <is>
          <t>HOURS_MONTH</t>
        </is>
      </c>
      <c r="B20" s="36" t="n">
        <v>730</v>
      </c>
      <c r="C20" s="35" t="inlineStr">
        <is>
          <t>Horas / mes (24×365/12)</t>
        </is>
      </c>
    </row>
    <row r="21">
      <c r="A21" s="33" t="inlineStr">
        <is>
          <t>REPL_FACTOR</t>
        </is>
      </c>
      <c r="B21" s="36" t="n">
        <v>3</v>
      </c>
      <c r="C21" s="35" t="inlineStr">
        <is>
          <t>Replication factor Dedicated. Storage ≈ 3x</t>
        </is>
      </c>
    </row>
    <row r="22">
      <c r="A22" s="33" t="inlineStr">
        <is>
          <t>CKU_IN_MBPS</t>
        </is>
      </c>
      <c r="B22" s="36" t="n">
        <v>60</v>
      </c>
      <c r="C22" s="35" t="inlineStr">
        <is>
          <t>Ingress MBps por CKU (docs cluster types)</t>
        </is>
      </c>
    </row>
    <row r="23">
      <c r="A23" s="33" t="inlineStr">
        <is>
          <t>CKU_OUT_MBPS</t>
        </is>
      </c>
      <c r="B23" s="36" t="n">
        <v>180</v>
      </c>
      <c r="C23" s="35" t="inlineStr">
        <is>
          <t>Egress MBps por CKU</t>
        </is>
      </c>
    </row>
    <row r="24">
      <c r="A24" s="33" t="inlineStr">
        <is>
          <t>CKU_PARTITIONS</t>
        </is>
      </c>
      <c r="B24" s="36" t="n">
        <v>4500</v>
      </c>
      <c r="C24" s="35" t="inlineStr">
        <is>
          <t>Partitions pre-replication por CKU</t>
        </is>
      </c>
    </row>
    <row r="26">
      <c r="A26" s="32" t="inlineStr">
        <is>
          <t>Tope CKU Dedicated por cloud</t>
        </is>
      </c>
      <c r="B26" s="32" t="n"/>
    </row>
    <row r="27">
      <c r="A27" t="inlineStr">
        <is>
          <t>AWS</t>
        </is>
      </c>
      <c r="B27" s="37" t="n">
        <v>252</v>
      </c>
    </row>
    <row r="28">
      <c r="A28" t="inlineStr">
        <is>
          <t>Azure</t>
        </is>
      </c>
      <c r="B28" s="37" t="n">
        <v>100</v>
      </c>
    </row>
    <row r="29">
      <c r="A29" t="inlineStr">
        <is>
          <t>GCP</t>
        </is>
      </c>
      <c r="B29" s="37" t="n">
        <v>152</v>
      </c>
    </row>
    <row r="31">
      <c r="A31" s="32" t="inlineStr">
        <is>
          <t>Fuentes oficiales</t>
        </is>
      </c>
      <c r="B31" s="32" t="n"/>
    </row>
    <row r="32">
      <c r="A32" s="38" t="inlineStr">
        <is>
          <t>https://docs.confluent.io/cloud/current/billing/billing-dimensions.html</t>
        </is>
      </c>
    </row>
    <row r="33">
      <c r="A33" s="38" t="inlineStr">
        <is>
          <t>https://docs.confluent.io/cloud/current/multi-cloud/cluster-linking/private-networking.html</t>
        </is>
      </c>
    </row>
    <row r="34">
      <c r="A34" s="38" t="inlineStr">
        <is>
          <t>https://docs.confluent.io/cloud/current/get-started/regions.html</t>
        </is>
      </c>
    </row>
    <row r="35">
      <c r="A35" s="38" t="inlineStr">
        <is>
          <t>https://docs.confluent.io/cloud/current/networking/private-links/azure-privatelink.html</t>
        </is>
      </c>
    </row>
    <row r="36">
      <c r="A36" s="38" t="inlineStr">
        <is>
          <t>https://docs.confluent.io/cloud/current/networking/private-links/aws-privatelink.html</t>
        </is>
      </c>
    </row>
    <row r="37">
      <c r="A37" s="38" t="inlineStr">
        <is>
          <t>https://docs.confluent.io/cloud/current/networking/private-links/gcp-private-service-connect.html</t>
        </is>
      </c>
    </row>
    <row r="38">
      <c r="A38" s="38" t="inlineStr">
        <is>
          <t>https://docs.confluent.io/cloud/current/clusters/cluster-types.html</t>
        </is>
      </c>
    </row>
  </sheetData>
  <mergeCells count="11">
    <mergeCell ref="A1:D1"/>
    <mergeCell ref="A33:C33"/>
    <mergeCell ref="A36:C36"/>
    <mergeCell ref="A37:C37"/>
    <mergeCell ref="A32:C32"/>
    <mergeCell ref="A2:D2"/>
    <mergeCell ref="A34:C34"/>
    <mergeCell ref="A12:C12"/>
    <mergeCell ref="A4:C4"/>
    <mergeCell ref="A35:C35"/>
    <mergeCell ref="A38:C38"/>
  </mergeCells>
  <hyperlinks>
    <hyperlink xmlns:r="http://schemas.openxmlformats.org/officeDocument/2006/relationships" ref="A32" r:id="rId1"/>
    <hyperlink xmlns:r="http://schemas.openxmlformats.org/officeDocument/2006/relationships" ref="A33" r:id="rId2"/>
    <hyperlink xmlns:r="http://schemas.openxmlformats.org/officeDocument/2006/relationships" ref="A34" r:id="rId3"/>
    <hyperlink xmlns:r="http://schemas.openxmlformats.org/officeDocument/2006/relationships" ref="A35" r:id="rId4"/>
    <hyperlink xmlns:r="http://schemas.openxmlformats.org/officeDocument/2006/relationships" ref="A36" r:id="rId5"/>
    <hyperlink xmlns:r="http://schemas.openxmlformats.org/officeDocument/2006/relationships" ref="A37" r:id="rId6"/>
    <hyperlink xmlns:r="http://schemas.openxmlformats.org/officeDocument/2006/relationships" ref="A3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9AAB"/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2" customWidth="1" min="4" max="4"/>
    <col width="14" customWidth="1" min="5" max="5"/>
    <col width="12" customWidth="1" min="6" max="6"/>
    <col width="36" customWidth="1" min="7" max="7"/>
  </cols>
  <sheetData>
    <row r="1">
      <c r="A1" s="32" t="inlineStr">
        <is>
          <t>Cloud</t>
        </is>
      </c>
      <c r="B1" s="32" t="inlineStr">
        <is>
          <t>Region</t>
        </is>
      </c>
      <c r="C1" s="32" t="inlineStr">
        <is>
          <t>Ubicacion</t>
        </is>
      </c>
      <c r="D1" s="32" t="inlineStr">
        <is>
          <t>Premium_cross_cloud</t>
        </is>
      </c>
      <c r="E1" s="32" t="inlineStr">
        <is>
          <t>Jio_sin_PL</t>
        </is>
      </c>
      <c r="F1" s="32" t="inlineStr">
        <is>
          <t>Multiplier</t>
        </is>
      </c>
      <c r="G1" s="32" t="inlineStr">
        <is>
          <t>Clave</t>
        </is>
      </c>
    </row>
    <row r="2">
      <c r="A2" t="inlineStr">
        <is>
          <t>AWS</t>
        </is>
      </c>
      <c r="B2" t="inlineStr">
        <is>
          <t>us-east-1</t>
        </is>
      </c>
      <c r="C2" t="inlineStr">
        <is>
          <t>N. Virginia</t>
        </is>
      </c>
      <c r="D2" t="inlineStr">
        <is>
          <t>NO</t>
        </is>
      </c>
      <c r="E2" t="inlineStr">
        <is>
          <t>NO</t>
        </is>
      </c>
      <c r="F2" s="39" t="n">
        <v>1</v>
      </c>
      <c r="G2" t="inlineStr">
        <is>
          <t>AWS|us-east-1</t>
        </is>
      </c>
    </row>
    <row r="3">
      <c r="A3" t="inlineStr">
        <is>
          <t>AWS</t>
        </is>
      </c>
      <c r="B3" t="inlineStr">
        <is>
          <t>us-east-2</t>
        </is>
      </c>
      <c r="C3" t="inlineStr">
        <is>
          <t>Ohio</t>
        </is>
      </c>
      <c r="D3" t="inlineStr">
        <is>
          <t>NO</t>
        </is>
      </c>
      <c r="E3" t="inlineStr">
        <is>
          <t>NO</t>
        </is>
      </c>
      <c r="F3" s="39" t="n">
        <v>1</v>
      </c>
      <c r="G3" t="inlineStr">
        <is>
          <t>AWS|us-east-2</t>
        </is>
      </c>
    </row>
    <row r="4">
      <c r="A4" t="inlineStr">
        <is>
          <t>AWS</t>
        </is>
      </c>
      <c r="B4" t="inlineStr">
        <is>
          <t>us-west-2</t>
        </is>
      </c>
      <c r="C4" t="inlineStr">
        <is>
          <t>Oregon</t>
        </is>
      </c>
      <c r="D4" t="inlineStr">
        <is>
          <t>NO</t>
        </is>
      </c>
      <c r="E4" t="inlineStr">
        <is>
          <t>NO</t>
        </is>
      </c>
      <c r="F4" s="39" t="n">
        <v>1</v>
      </c>
      <c r="G4" t="inlineStr">
        <is>
          <t>AWS|us-west-2</t>
        </is>
      </c>
    </row>
    <row r="5">
      <c r="A5" t="inlineStr">
        <is>
          <t>AWS</t>
        </is>
      </c>
      <c r="B5" t="inlineStr">
        <is>
          <t>ca-central-1</t>
        </is>
      </c>
      <c r="C5" t="inlineStr">
        <is>
          <t>Canada Central</t>
        </is>
      </c>
      <c r="D5" t="inlineStr">
        <is>
          <t>NO</t>
        </is>
      </c>
      <c r="E5" t="inlineStr">
        <is>
          <t>NO</t>
        </is>
      </c>
      <c r="F5" s="39" t="n">
        <v>1</v>
      </c>
      <c r="G5" t="inlineStr">
        <is>
          <t>AWS|ca-central-1</t>
        </is>
      </c>
    </row>
    <row r="6">
      <c r="A6" t="inlineStr">
        <is>
          <t>AWS</t>
        </is>
      </c>
      <c r="B6" t="inlineStr">
        <is>
          <t>ca-west-1</t>
        </is>
      </c>
      <c r="C6" t="inlineStr">
        <is>
          <t>Calgary</t>
        </is>
      </c>
      <c r="D6" t="inlineStr">
        <is>
          <t>NO</t>
        </is>
      </c>
      <c r="E6" t="inlineStr">
        <is>
          <t>NO</t>
        </is>
      </c>
      <c r="F6" s="39" t="n">
        <v>1</v>
      </c>
      <c r="G6" t="inlineStr">
        <is>
          <t>AWS|ca-west-1</t>
        </is>
      </c>
    </row>
    <row r="7">
      <c r="A7" t="inlineStr">
        <is>
          <t>AWS</t>
        </is>
      </c>
      <c r="B7" t="inlineStr">
        <is>
          <t>sa-east-1</t>
        </is>
      </c>
      <c r="C7" t="inlineStr">
        <is>
          <t>São Paulo</t>
        </is>
      </c>
      <c r="D7" s="40" t="inlineStr">
        <is>
          <t>SI</t>
        </is>
      </c>
      <c r="E7" t="inlineStr">
        <is>
          <t>NO</t>
        </is>
      </c>
      <c r="F7" s="39" t="n">
        <v>1.2</v>
      </c>
      <c r="G7" t="inlineStr">
        <is>
          <t>AWS|sa-east-1</t>
        </is>
      </c>
    </row>
    <row r="8">
      <c r="A8" t="inlineStr">
        <is>
          <t>AWS</t>
        </is>
      </c>
      <c r="B8" t="inlineStr">
        <is>
          <t>eu-central-1</t>
        </is>
      </c>
      <c r="C8" t="inlineStr">
        <is>
          <t>Frankfurt</t>
        </is>
      </c>
      <c r="D8" s="40" t="inlineStr">
        <is>
          <t>SI</t>
        </is>
      </c>
      <c r="E8" t="inlineStr">
        <is>
          <t>NO</t>
        </is>
      </c>
      <c r="F8" s="39" t="n">
        <v>1</v>
      </c>
      <c r="G8" t="inlineStr">
        <is>
          <t>AWS|eu-central-1</t>
        </is>
      </c>
    </row>
    <row r="9">
      <c r="A9" t="inlineStr">
        <is>
          <t>AWS</t>
        </is>
      </c>
      <c r="B9" t="inlineStr">
        <is>
          <t>eu-central-2</t>
        </is>
      </c>
      <c r="C9" t="inlineStr">
        <is>
          <t>Zurich</t>
        </is>
      </c>
      <c r="D9" t="inlineStr">
        <is>
          <t>NO</t>
        </is>
      </c>
      <c r="E9" t="inlineStr">
        <is>
          <t>NO</t>
        </is>
      </c>
      <c r="F9" s="39" t="n">
        <v>1.1</v>
      </c>
      <c r="G9" t="inlineStr">
        <is>
          <t>AWS|eu-central-2</t>
        </is>
      </c>
    </row>
    <row r="10">
      <c r="A10" t="inlineStr">
        <is>
          <t>AWS</t>
        </is>
      </c>
      <c r="B10" t="inlineStr">
        <is>
          <t>eu-west-1</t>
        </is>
      </c>
      <c r="C10" t="inlineStr">
        <is>
          <t>Ireland</t>
        </is>
      </c>
      <c r="D10" t="inlineStr">
        <is>
          <t>NO</t>
        </is>
      </c>
      <c r="E10" t="inlineStr">
        <is>
          <t>NO</t>
        </is>
      </c>
      <c r="F10" s="39" t="n">
        <v>1</v>
      </c>
      <c r="G10" t="inlineStr">
        <is>
          <t>AWS|eu-west-1</t>
        </is>
      </c>
    </row>
    <row r="11">
      <c r="A11" t="inlineStr">
        <is>
          <t>AWS</t>
        </is>
      </c>
      <c r="B11" t="inlineStr">
        <is>
          <t>eu-west-2</t>
        </is>
      </c>
      <c r="C11" t="inlineStr">
        <is>
          <t>London</t>
        </is>
      </c>
      <c r="D11" s="40" t="inlineStr">
        <is>
          <t>SI</t>
        </is>
      </c>
      <c r="E11" t="inlineStr">
        <is>
          <t>NO</t>
        </is>
      </c>
      <c r="F11" s="39" t="n">
        <v>1.1</v>
      </c>
      <c r="G11" t="inlineStr">
        <is>
          <t>AWS|eu-west-2</t>
        </is>
      </c>
    </row>
    <row r="12">
      <c r="A12" t="inlineStr">
        <is>
          <t>AWS</t>
        </is>
      </c>
      <c r="B12" t="inlineStr">
        <is>
          <t>eu-west-3</t>
        </is>
      </c>
      <c r="C12" t="inlineStr">
        <is>
          <t>Paris</t>
        </is>
      </c>
      <c r="D12" t="inlineStr">
        <is>
          <t>NO</t>
        </is>
      </c>
      <c r="E12" t="inlineStr">
        <is>
          <t>NO</t>
        </is>
      </c>
      <c r="F12" s="39" t="n">
        <v>1</v>
      </c>
      <c r="G12" t="inlineStr">
        <is>
          <t>AWS|eu-west-3</t>
        </is>
      </c>
    </row>
    <row r="13">
      <c r="A13" t="inlineStr">
        <is>
          <t>AWS</t>
        </is>
      </c>
      <c r="B13" t="inlineStr">
        <is>
          <t>eu-north-1</t>
        </is>
      </c>
      <c r="C13" t="inlineStr">
        <is>
          <t>Stockholm</t>
        </is>
      </c>
      <c r="D13" t="inlineStr">
        <is>
          <t>NO</t>
        </is>
      </c>
      <c r="E13" t="inlineStr">
        <is>
          <t>NO</t>
        </is>
      </c>
      <c r="F13" s="39" t="n">
        <v>1</v>
      </c>
      <c r="G13" t="inlineStr">
        <is>
          <t>AWS|eu-north-1</t>
        </is>
      </c>
    </row>
    <row r="14">
      <c r="A14" t="inlineStr">
        <is>
          <t>AWS</t>
        </is>
      </c>
      <c r="B14" t="inlineStr">
        <is>
          <t>eu-south-1</t>
        </is>
      </c>
      <c r="C14" t="inlineStr">
        <is>
          <t>Milan</t>
        </is>
      </c>
      <c r="D14" t="inlineStr">
        <is>
          <t>NO</t>
        </is>
      </c>
      <c r="E14" t="inlineStr">
        <is>
          <t>NO</t>
        </is>
      </c>
      <c r="F14" s="39" t="n">
        <v>1</v>
      </c>
      <c r="G14" t="inlineStr">
        <is>
          <t>AWS|eu-south-1</t>
        </is>
      </c>
    </row>
    <row r="15">
      <c r="A15" t="inlineStr">
        <is>
          <t>AWS</t>
        </is>
      </c>
      <c r="B15" t="inlineStr">
        <is>
          <t>eu-south-2</t>
        </is>
      </c>
      <c r="C15" t="inlineStr">
        <is>
          <t>Spain</t>
        </is>
      </c>
      <c r="D15" t="inlineStr">
        <is>
          <t>NO</t>
        </is>
      </c>
      <c r="E15" t="inlineStr">
        <is>
          <t>NO</t>
        </is>
      </c>
      <c r="F15" s="39" t="n">
        <v>1</v>
      </c>
      <c r="G15" t="inlineStr">
        <is>
          <t>AWS|eu-south-2</t>
        </is>
      </c>
    </row>
    <row r="16">
      <c r="A16" t="inlineStr">
        <is>
          <t>AWS</t>
        </is>
      </c>
      <c r="B16" t="inlineStr">
        <is>
          <t>ap-southeast-1</t>
        </is>
      </c>
      <c r="C16" t="inlineStr">
        <is>
          <t>Singapore</t>
        </is>
      </c>
      <c r="D16" t="inlineStr">
        <is>
          <t>NO</t>
        </is>
      </c>
      <c r="E16" t="inlineStr">
        <is>
          <t>NO</t>
        </is>
      </c>
      <c r="F16" s="39" t="n">
        <v>1.1</v>
      </c>
      <c r="G16" t="inlineStr">
        <is>
          <t>AWS|ap-southeast-1</t>
        </is>
      </c>
    </row>
    <row r="17">
      <c r="A17" t="inlineStr">
        <is>
          <t>AWS</t>
        </is>
      </c>
      <c r="B17" t="inlineStr">
        <is>
          <t>ap-southeast-2</t>
        </is>
      </c>
      <c r="C17" t="inlineStr">
        <is>
          <t>Sydney</t>
        </is>
      </c>
      <c r="D17" s="40" t="inlineStr">
        <is>
          <t>SI</t>
        </is>
      </c>
      <c r="E17" t="inlineStr">
        <is>
          <t>NO</t>
        </is>
      </c>
      <c r="F17" s="39" t="n">
        <v>1.1</v>
      </c>
      <c r="G17" t="inlineStr">
        <is>
          <t>AWS|ap-southeast-2</t>
        </is>
      </c>
    </row>
    <row r="18">
      <c r="A18" t="inlineStr">
        <is>
          <t>AWS</t>
        </is>
      </c>
      <c r="B18" t="inlineStr">
        <is>
          <t>ap-southeast-3</t>
        </is>
      </c>
      <c r="C18" t="inlineStr">
        <is>
          <t>Jakarta</t>
        </is>
      </c>
      <c r="D18" t="inlineStr">
        <is>
          <t>NO</t>
        </is>
      </c>
      <c r="E18" t="inlineStr">
        <is>
          <t>NO</t>
        </is>
      </c>
      <c r="F18" s="39" t="n">
        <v>1.1</v>
      </c>
      <c r="G18" t="inlineStr">
        <is>
          <t>AWS|ap-southeast-3</t>
        </is>
      </c>
    </row>
    <row r="19">
      <c r="A19" t="inlineStr">
        <is>
          <t>AWS</t>
        </is>
      </c>
      <c r="B19" t="inlineStr">
        <is>
          <t>ap-northeast-1</t>
        </is>
      </c>
      <c r="C19" t="inlineStr">
        <is>
          <t>Tokyo</t>
        </is>
      </c>
      <c r="D19" s="40" t="inlineStr">
        <is>
          <t>SI</t>
        </is>
      </c>
      <c r="E19" t="inlineStr">
        <is>
          <t>NO</t>
        </is>
      </c>
      <c r="F19" s="39" t="n">
        <v>1.1</v>
      </c>
      <c r="G19" t="inlineStr">
        <is>
          <t>AWS|ap-northeast-1</t>
        </is>
      </c>
    </row>
    <row r="20">
      <c r="A20" t="inlineStr">
        <is>
          <t>AWS</t>
        </is>
      </c>
      <c r="B20" t="inlineStr">
        <is>
          <t>ap-northeast-2</t>
        </is>
      </c>
      <c r="C20" t="inlineStr">
        <is>
          <t>Seoul</t>
        </is>
      </c>
      <c r="D20" s="40" t="inlineStr">
        <is>
          <t>SI</t>
        </is>
      </c>
      <c r="E20" t="inlineStr">
        <is>
          <t>NO</t>
        </is>
      </c>
      <c r="F20" s="39" t="n">
        <v>1.1</v>
      </c>
      <c r="G20" t="inlineStr">
        <is>
          <t>AWS|ap-northeast-2</t>
        </is>
      </c>
    </row>
    <row r="21">
      <c r="A21" t="inlineStr">
        <is>
          <t>AWS</t>
        </is>
      </c>
      <c r="B21" t="inlineStr">
        <is>
          <t>ap-northeast-3</t>
        </is>
      </c>
      <c r="C21" t="inlineStr">
        <is>
          <t>Osaka</t>
        </is>
      </c>
      <c r="D21" t="inlineStr">
        <is>
          <t>NO</t>
        </is>
      </c>
      <c r="E21" t="inlineStr">
        <is>
          <t>NO</t>
        </is>
      </c>
      <c r="F21" s="39" t="n">
        <v>1.1</v>
      </c>
      <c r="G21" t="inlineStr">
        <is>
          <t>AWS|ap-northeast-3</t>
        </is>
      </c>
    </row>
    <row r="22">
      <c r="A22" t="inlineStr">
        <is>
          <t>AWS</t>
        </is>
      </c>
      <c r="B22" t="inlineStr">
        <is>
          <t>ap-south-1</t>
        </is>
      </c>
      <c r="C22" t="inlineStr">
        <is>
          <t>Mumbai</t>
        </is>
      </c>
      <c r="D22" s="40" t="inlineStr">
        <is>
          <t>SI</t>
        </is>
      </c>
      <c r="E22" t="inlineStr">
        <is>
          <t>NO</t>
        </is>
      </c>
      <c r="F22" s="39" t="n">
        <v>1.2</v>
      </c>
      <c r="G22" t="inlineStr">
        <is>
          <t>AWS|ap-south-1</t>
        </is>
      </c>
    </row>
    <row r="23">
      <c r="A23" t="inlineStr">
        <is>
          <t>AWS</t>
        </is>
      </c>
      <c r="B23" t="inlineStr">
        <is>
          <t>ap-south-2</t>
        </is>
      </c>
      <c r="C23" t="inlineStr">
        <is>
          <t>Hyderabad</t>
        </is>
      </c>
      <c r="D23" t="inlineStr">
        <is>
          <t>NO</t>
        </is>
      </c>
      <c r="E23" t="inlineStr">
        <is>
          <t>NO</t>
        </is>
      </c>
      <c r="F23" s="39" t="n">
        <v>1.2</v>
      </c>
      <c r="G23" t="inlineStr">
        <is>
          <t>AWS|ap-south-2</t>
        </is>
      </c>
    </row>
    <row r="24">
      <c r="A24" t="inlineStr">
        <is>
          <t>AWS</t>
        </is>
      </c>
      <c r="B24" t="inlineStr">
        <is>
          <t>ap-east-1</t>
        </is>
      </c>
      <c r="C24" t="inlineStr">
        <is>
          <t>Hong Kong</t>
        </is>
      </c>
      <c r="D24" t="inlineStr">
        <is>
          <t>NO</t>
        </is>
      </c>
      <c r="E24" t="inlineStr">
        <is>
          <t>NO</t>
        </is>
      </c>
      <c r="F24" s="39" t="n">
        <v>1.2</v>
      </c>
      <c r="G24" t="inlineStr">
        <is>
          <t>AWS|ap-east-1</t>
        </is>
      </c>
    </row>
    <row r="25">
      <c r="A25" t="inlineStr">
        <is>
          <t>AWS</t>
        </is>
      </c>
      <c r="B25" t="inlineStr">
        <is>
          <t>me-south-1</t>
        </is>
      </c>
      <c r="C25" t="inlineStr">
        <is>
          <t>Bahrain</t>
        </is>
      </c>
      <c r="D25" t="inlineStr">
        <is>
          <t>NO</t>
        </is>
      </c>
      <c r="E25" t="inlineStr">
        <is>
          <t>NO</t>
        </is>
      </c>
      <c r="F25" s="39" t="n">
        <v>1.2</v>
      </c>
      <c r="G25" t="inlineStr">
        <is>
          <t>AWS|me-south-1</t>
        </is>
      </c>
    </row>
    <row r="26">
      <c r="A26" t="inlineStr">
        <is>
          <t>AWS</t>
        </is>
      </c>
      <c r="B26" t="inlineStr">
        <is>
          <t>me-central-1</t>
        </is>
      </c>
      <c r="C26" t="inlineStr">
        <is>
          <t>UAE (no new customers)</t>
        </is>
      </c>
      <c r="D26" s="40" t="inlineStr">
        <is>
          <t>SI</t>
        </is>
      </c>
      <c r="E26" t="inlineStr">
        <is>
          <t>NO</t>
        </is>
      </c>
      <c r="F26" s="39" t="n">
        <v>1.2</v>
      </c>
      <c r="G26" t="inlineStr">
        <is>
          <t>AWS|me-central-1</t>
        </is>
      </c>
    </row>
    <row r="27">
      <c r="A27" t="inlineStr">
        <is>
          <t>AWS</t>
        </is>
      </c>
      <c r="B27" t="inlineStr">
        <is>
          <t>af-south-1</t>
        </is>
      </c>
      <c r="C27" t="inlineStr">
        <is>
          <t>Cape Town</t>
        </is>
      </c>
      <c r="D27" s="40" t="inlineStr">
        <is>
          <t>SI</t>
        </is>
      </c>
      <c r="E27" t="inlineStr">
        <is>
          <t>NO</t>
        </is>
      </c>
      <c r="F27" s="39" t="n">
        <v>1.2</v>
      </c>
      <c r="G27" t="inlineStr">
        <is>
          <t>AWS|af-south-1</t>
        </is>
      </c>
    </row>
    <row r="28">
      <c r="A28" t="inlineStr">
        <is>
          <t>AWS</t>
        </is>
      </c>
      <c r="B28" t="inlineStr">
        <is>
          <t>il-central-1</t>
        </is>
      </c>
      <c r="C28" t="inlineStr">
        <is>
          <t>Tel Aviv</t>
        </is>
      </c>
      <c r="D28" t="inlineStr">
        <is>
          <t>NO</t>
        </is>
      </c>
      <c r="E28" t="inlineStr">
        <is>
          <t>NO</t>
        </is>
      </c>
      <c r="F28" s="39" t="n">
        <v>1.1</v>
      </c>
      <c r="G28" t="inlineStr">
        <is>
          <t>AWS|il-central-1</t>
        </is>
      </c>
    </row>
    <row r="29">
      <c r="A29" t="inlineStr">
        <is>
          <t>Azure</t>
        </is>
      </c>
      <c r="B29" t="inlineStr">
        <is>
          <t>eastus</t>
        </is>
      </c>
      <c r="C29" t="inlineStr">
        <is>
          <t>Virginia</t>
        </is>
      </c>
      <c r="D29" t="inlineStr">
        <is>
          <t>NO</t>
        </is>
      </c>
      <c r="E29" t="inlineStr">
        <is>
          <t>NO</t>
        </is>
      </c>
      <c r="F29" s="39" t="n">
        <v>1</v>
      </c>
      <c r="G29" t="inlineStr">
        <is>
          <t>Azure|eastus</t>
        </is>
      </c>
    </row>
    <row r="30">
      <c r="A30" t="inlineStr">
        <is>
          <t>Azure</t>
        </is>
      </c>
      <c r="B30" t="inlineStr">
        <is>
          <t>eastus2</t>
        </is>
      </c>
      <c r="C30" t="inlineStr">
        <is>
          <t>Virginia</t>
        </is>
      </c>
      <c r="D30" t="inlineStr">
        <is>
          <t>NO</t>
        </is>
      </c>
      <c r="E30" t="inlineStr">
        <is>
          <t>NO</t>
        </is>
      </c>
      <c r="F30" s="39" t="n">
        <v>1</v>
      </c>
      <c r="G30" t="inlineStr">
        <is>
          <t>Azure|eastus2</t>
        </is>
      </c>
    </row>
    <row r="31">
      <c r="A31" t="inlineStr">
        <is>
          <t>Azure</t>
        </is>
      </c>
      <c r="B31" t="inlineStr">
        <is>
          <t>centralus</t>
        </is>
      </c>
      <c r="C31" t="inlineStr">
        <is>
          <t>Iowa</t>
        </is>
      </c>
      <c r="D31" t="inlineStr">
        <is>
          <t>NO</t>
        </is>
      </c>
      <c r="E31" t="inlineStr">
        <is>
          <t>NO</t>
        </is>
      </c>
      <c r="F31" s="39" t="n">
        <v>1</v>
      </c>
      <c r="G31" t="inlineStr">
        <is>
          <t>Azure|centralus</t>
        </is>
      </c>
    </row>
    <row r="32">
      <c r="A32" t="inlineStr">
        <is>
          <t>Azure</t>
        </is>
      </c>
      <c r="B32" t="inlineStr">
        <is>
          <t>southcentralus</t>
        </is>
      </c>
      <c r="C32" t="inlineStr">
        <is>
          <t>Texas</t>
        </is>
      </c>
      <c r="D32" t="inlineStr">
        <is>
          <t>NO</t>
        </is>
      </c>
      <c r="E32" t="inlineStr">
        <is>
          <t>NO</t>
        </is>
      </c>
      <c r="F32" s="39" t="n">
        <v>1</v>
      </c>
      <c r="G32" t="inlineStr">
        <is>
          <t>Azure|southcentralus</t>
        </is>
      </c>
    </row>
    <row r="33">
      <c r="A33" t="inlineStr">
        <is>
          <t>Azure</t>
        </is>
      </c>
      <c r="B33" t="inlineStr">
        <is>
          <t>westus2</t>
        </is>
      </c>
      <c r="C33" t="inlineStr">
        <is>
          <t>Washington</t>
        </is>
      </c>
      <c r="D33" t="inlineStr">
        <is>
          <t>NO</t>
        </is>
      </c>
      <c r="E33" t="inlineStr">
        <is>
          <t>NO</t>
        </is>
      </c>
      <c r="F33" s="39" t="n">
        <v>1</v>
      </c>
      <c r="G33" t="inlineStr">
        <is>
          <t>Azure|westus2</t>
        </is>
      </c>
    </row>
    <row r="34">
      <c r="A34" t="inlineStr">
        <is>
          <t>Azure</t>
        </is>
      </c>
      <c r="B34" t="inlineStr">
        <is>
          <t>westus3</t>
        </is>
      </c>
      <c r="C34" t="inlineStr">
        <is>
          <t>Phoenix</t>
        </is>
      </c>
      <c r="D34" t="inlineStr">
        <is>
          <t>NO</t>
        </is>
      </c>
      <c r="E34" t="inlineStr">
        <is>
          <t>NO</t>
        </is>
      </c>
      <c r="F34" s="39" t="n">
        <v>1</v>
      </c>
      <c r="G34" t="inlineStr">
        <is>
          <t>Azure|westus3</t>
        </is>
      </c>
    </row>
    <row r="35">
      <c r="A35" t="inlineStr">
        <is>
          <t>Azure</t>
        </is>
      </c>
      <c r="B35" t="inlineStr">
        <is>
          <t>canadacentral</t>
        </is>
      </c>
      <c r="C35" t="inlineStr">
        <is>
          <t>Toronto</t>
        </is>
      </c>
      <c r="D35" t="inlineStr">
        <is>
          <t>NO</t>
        </is>
      </c>
      <c r="E35" t="inlineStr">
        <is>
          <t>NO</t>
        </is>
      </c>
      <c r="F35" s="39" t="n">
        <v>1</v>
      </c>
      <c r="G35" t="inlineStr">
        <is>
          <t>Azure|canadacentral</t>
        </is>
      </c>
    </row>
    <row r="36">
      <c r="A36" t="inlineStr">
        <is>
          <t>Azure</t>
        </is>
      </c>
      <c r="B36" t="inlineStr">
        <is>
          <t>brazilsouth</t>
        </is>
      </c>
      <c r="C36" t="inlineStr">
        <is>
          <t>São Paulo</t>
        </is>
      </c>
      <c r="D36" s="40" t="inlineStr">
        <is>
          <t>SI</t>
        </is>
      </c>
      <c r="E36" t="inlineStr">
        <is>
          <t>NO</t>
        </is>
      </c>
      <c r="F36" s="39" t="n">
        <v>1.2</v>
      </c>
      <c r="G36" t="inlineStr">
        <is>
          <t>Azure|brazilsouth</t>
        </is>
      </c>
    </row>
    <row r="37">
      <c r="A37" t="inlineStr">
        <is>
          <t>Azure</t>
        </is>
      </c>
      <c r="B37" t="inlineStr">
        <is>
          <t>mexicocentral</t>
        </is>
      </c>
      <c r="C37" t="inlineStr">
        <is>
          <t>Mexico</t>
        </is>
      </c>
      <c r="D37" s="40" t="inlineStr">
        <is>
          <t>SI</t>
        </is>
      </c>
      <c r="E37" t="inlineStr">
        <is>
          <t>NO</t>
        </is>
      </c>
      <c r="F37" s="39" t="n">
        <v>1.2</v>
      </c>
      <c r="G37" t="inlineStr">
        <is>
          <t>Azure|mexicocentral</t>
        </is>
      </c>
    </row>
    <row r="38">
      <c r="A38" t="inlineStr">
        <is>
          <t>Azure</t>
        </is>
      </c>
      <c r="B38" t="inlineStr">
        <is>
          <t>northeurope</t>
        </is>
      </c>
      <c r="C38" t="inlineStr">
        <is>
          <t>Ireland</t>
        </is>
      </c>
      <c r="D38" t="inlineStr">
        <is>
          <t>NO</t>
        </is>
      </c>
      <c r="E38" t="inlineStr">
        <is>
          <t>NO</t>
        </is>
      </c>
      <c r="F38" s="39" t="n">
        <v>1</v>
      </c>
      <c r="G38" t="inlineStr">
        <is>
          <t>Azure|northeurope</t>
        </is>
      </c>
    </row>
    <row r="39">
      <c r="A39" t="inlineStr">
        <is>
          <t>Azure</t>
        </is>
      </c>
      <c r="B39" t="inlineStr">
        <is>
          <t>westeurope</t>
        </is>
      </c>
      <c r="C39" t="inlineStr">
        <is>
          <t>Netherlands</t>
        </is>
      </c>
      <c r="D39" t="inlineStr">
        <is>
          <t>NO</t>
        </is>
      </c>
      <c r="E39" t="inlineStr">
        <is>
          <t>NO</t>
        </is>
      </c>
      <c r="F39" s="39" t="n">
        <v>1</v>
      </c>
      <c r="G39" t="inlineStr">
        <is>
          <t>Azure|westeurope</t>
        </is>
      </c>
    </row>
    <row r="40">
      <c r="A40" t="inlineStr">
        <is>
          <t>Azure</t>
        </is>
      </c>
      <c r="B40" t="inlineStr">
        <is>
          <t>uksouth</t>
        </is>
      </c>
      <c r="C40" t="inlineStr">
        <is>
          <t>London</t>
        </is>
      </c>
      <c r="D40" s="40" t="inlineStr">
        <is>
          <t>SI</t>
        </is>
      </c>
      <c r="E40" t="inlineStr">
        <is>
          <t>NO</t>
        </is>
      </c>
      <c r="F40" s="39" t="n">
        <v>1.1</v>
      </c>
      <c r="G40" t="inlineStr">
        <is>
          <t>Azure|uksouth</t>
        </is>
      </c>
    </row>
    <row r="41">
      <c r="A41" t="inlineStr">
        <is>
          <t>Azure</t>
        </is>
      </c>
      <c r="B41" t="inlineStr">
        <is>
          <t>francecentral</t>
        </is>
      </c>
      <c r="C41" t="inlineStr">
        <is>
          <t>Paris</t>
        </is>
      </c>
      <c r="D41" s="40" t="inlineStr">
        <is>
          <t>SI</t>
        </is>
      </c>
      <c r="E41" t="inlineStr">
        <is>
          <t>NO</t>
        </is>
      </c>
      <c r="F41" s="39" t="n">
        <v>1.1</v>
      </c>
      <c r="G41" t="inlineStr">
        <is>
          <t>Azure|francecentral</t>
        </is>
      </c>
    </row>
    <row r="42">
      <c r="A42" t="inlineStr">
        <is>
          <t>Azure</t>
        </is>
      </c>
      <c r="B42" t="inlineStr">
        <is>
          <t>germanywestcentral</t>
        </is>
      </c>
      <c r="C42" t="inlineStr">
        <is>
          <t>Frankfurt</t>
        </is>
      </c>
      <c r="D42" s="40" t="inlineStr">
        <is>
          <t>SI</t>
        </is>
      </c>
      <c r="E42" t="inlineStr">
        <is>
          <t>NO</t>
        </is>
      </c>
      <c r="F42" s="39" t="n">
        <v>1</v>
      </c>
      <c r="G42" t="inlineStr">
        <is>
          <t>Azure|germanywestcentral</t>
        </is>
      </c>
    </row>
    <row r="43">
      <c r="A43" t="inlineStr">
        <is>
          <t>Azure</t>
        </is>
      </c>
      <c r="B43" t="inlineStr">
        <is>
          <t>switzerlandnorth</t>
        </is>
      </c>
      <c r="C43" t="inlineStr">
        <is>
          <t>Zurich</t>
        </is>
      </c>
      <c r="D43" s="40" t="inlineStr">
        <is>
          <t>SI</t>
        </is>
      </c>
      <c r="E43" t="inlineStr">
        <is>
          <t>NO</t>
        </is>
      </c>
      <c r="F43" s="39" t="n">
        <v>1.1</v>
      </c>
      <c r="G43" t="inlineStr">
        <is>
          <t>Azure|switzerlandnorth</t>
        </is>
      </c>
    </row>
    <row r="44">
      <c r="A44" t="inlineStr">
        <is>
          <t>Azure</t>
        </is>
      </c>
      <c r="B44" t="inlineStr">
        <is>
          <t>norwayeast</t>
        </is>
      </c>
      <c r="C44" t="inlineStr">
        <is>
          <t>Oslo</t>
        </is>
      </c>
      <c r="D44" s="40" t="inlineStr">
        <is>
          <t>SI</t>
        </is>
      </c>
      <c r="E44" t="inlineStr">
        <is>
          <t>NO</t>
        </is>
      </c>
      <c r="F44" s="39" t="n">
        <v>1.1</v>
      </c>
      <c r="G44" t="inlineStr">
        <is>
          <t>Azure|norwayeast</t>
        </is>
      </c>
    </row>
    <row r="45">
      <c r="A45" t="inlineStr">
        <is>
          <t>Azure</t>
        </is>
      </c>
      <c r="B45" t="inlineStr">
        <is>
          <t>swedencentral</t>
        </is>
      </c>
      <c r="C45" t="inlineStr">
        <is>
          <t>Sweden</t>
        </is>
      </c>
      <c r="D45" t="inlineStr">
        <is>
          <t>NO</t>
        </is>
      </c>
      <c r="E45" t="inlineStr">
        <is>
          <t>NO</t>
        </is>
      </c>
      <c r="F45" s="39" t="n">
        <v>1</v>
      </c>
      <c r="G45" t="inlineStr">
        <is>
          <t>Azure|swedencentral</t>
        </is>
      </c>
    </row>
    <row r="46">
      <c r="A46" t="inlineStr">
        <is>
          <t>Azure</t>
        </is>
      </c>
      <c r="B46" t="inlineStr">
        <is>
          <t>spaincentral</t>
        </is>
      </c>
      <c r="C46" t="inlineStr">
        <is>
          <t>Spain</t>
        </is>
      </c>
      <c r="D46" t="inlineStr">
        <is>
          <t>NO</t>
        </is>
      </c>
      <c r="E46" t="inlineStr">
        <is>
          <t>NO</t>
        </is>
      </c>
      <c r="F46" s="39" t="n">
        <v>1</v>
      </c>
      <c r="G46" t="inlineStr">
        <is>
          <t>Azure|spaincentral</t>
        </is>
      </c>
    </row>
    <row r="47">
      <c r="A47" t="inlineStr">
        <is>
          <t>Azure</t>
        </is>
      </c>
      <c r="B47" t="inlineStr">
        <is>
          <t>italynorth</t>
        </is>
      </c>
      <c r="C47" t="inlineStr">
        <is>
          <t>Milan</t>
        </is>
      </c>
      <c r="D47" t="inlineStr">
        <is>
          <t>NO</t>
        </is>
      </c>
      <c r="E47" t="inlineStr">
        <is>
          <t>NO</t>
        </is>
      </c>
      <c r="F47" s="39" t="n">
        <v>1</v>
      </c>
      <c r="G47" t="inlineStr">
        <is>
          <t>Azure|italynorth</t>
        </is>
      </c>
    </row>
    <row r="48">
      <c r="A48" t="inlineStr">
        <is>
          <t>Azure</t>
        </is>
      </c>
      <c r="B48" t="inlineStr">
        <is>
          <t>austriaeast</t>
        </is>
      </c>
      <c r="C48" t="inlineStr">
        <is>
          <t>Vienna</t>
        </is>
      </c>
      <c r="D48" t="inlineStr">
        <is>
          <t>NO</t>
        </is>
      </c>
      <c r="E48" t="inlineStr">
        <is>
          <t>NO</t>
        </is>
      </c>
      <c r="F48" s="39" t="n">
        <v>1.1</v>
      </c>
      <c r="G48" t="inlineStr">
        <is>
          <t>Azure|austriaeast</t>
        </is>
      </c>
    </row>
    <row r="49">
      <c r="A49" t="inlineStr">
        <is>
          <t>Azure</t>
        </is>
      </c>
      <c r="B49" t="inlineStr">
        <is>
          <t>australiaeast</t>
        </is>
      </c>
      <c r="C49" t="inlineStr">
        <is>
          <t>NSW</t>
        </is>
      </c>
      <c r="D49" s="40" t="inlineStr">
        <is>
          <t>SI</t>
        </is>
      </c>
      <c r="E49" t="inlineStr">
        <is>
          <t>NO</t>
        </is>
      </c>
      <c r="F49" s="39" t="n">
        <v>1.1</v>
      </c>
      <c r="G49" t="inlineStr">
        <is>
          <t>Azure|australiaeast</t>
        </is>
      </c>
    </row>
    <row r="50">
      <c r="A50" t="inlineStr">
        <is>
          <t>Azure</t>
        </is>
      </c>
      <c r="B50" t="inlineStr">
        <is>
          <t>southeastasia</t>
        </is>
      </c>
      <c r="C50" t="inlineStr">
        <is>
          <t>Singapore</t>
        </is>
      </c>
      <c r="D50" t="inlineStr">
        <is>
          <t>NO</t>
        </is>
      </c>
      <c r="E50" t="inlineStr">
        <is>
          <t>NO</t>
        </is>
      </c>
      <c r="F50" s="39" t="n">
        <v>1.1</v>
      </c>
      <c r="G50" t="inlineStr">
        <is>
          <t>Azure|southeastasia</t>
        </is>
      </c>
    </row>
    <row r="51">
      <c r="A51" t="inlineStr">
        <is>
          <t>Azure</t>
        </is>
      </c>
      <c r="B51" t="inlineStr">
        <is>
          <t>eastasia</t>
        </is>
      </c>
      <c r="C51" t="inlineStr">
        <is>
          <t>Hong Kong</t>
        </is>
      </c>
      <c r="D51" t="inlineStr">
        <is>
          <t>NO</t>
        </is>
      </c>
      <c r="E51" t="inlineStr">
        <is>
          <t>NO</t>
        </is>
      </c>
      <c r="F51" s="39" t="n">
        <v>1.2</v>
      </c>
      <c r="G51" t="inlineStr">
        <is>
          <t>Azure|eastasia</t>
        </is>
      </c>
    </row>
    <row r="52">
      <c r="A52" t="inlineStr">
        <is>
          <t>Azure</t>
        </is>
      </c>
      <c r="B52" t="inlineStr">
        <is>
          <t>japaneast</t>
        </is>
      </c>
      <c r="C52" t="inlineStr">
        <is>
          <t>Tokyo</t>
        </is>
      </c>
      <c r="D52" s="40" t="inlineStr">
        <is>
          <t>SI</t>
        </is>
      </c>
      <c r="E52" t="inlineStr">
        <is>
          <t>NO</t>
        </is>
      </c>
      <c r="F52" s="39" t="n">
        <v>1.1</v>
      </c>
      <c r="G52" t="inlineStr">
        <is>
          <t>Azure|japaneast</t>
        </is>
      </c>
    </row>
    <row r="53">
      <c r="A53" t="inlineStr">
        <is>
          <t>Azure</t>
        </is>
      </c>
      <c r="B53" t="inlineStr">
        <is>
          <t>koreacentral</t>
        </is>
      </c>
      <c r="C53" t="inlineStr">
        <is>
          <t>Seoul</t>
        </is>
      </c>
      <c r="D53" t="inlineStr">
        <is>
          <t>NO</t>
        </is>
      </c>
      <c r="E53" t="inlineStr">
        <is>
          <t>NO</t>
        </is>
      </c>
      <c r="F53" s="39" t="n">
        <v>1.1</v>
      </c>
      <c r="G53" t="inlineStr">
        <is>
          <t>Azure|koreacentral</t>
        </is>
      </c>
    </row>
    <row r="54">
      <c r="A54" t="inlineStr">
        <is>
          <t>Azure</t>
        </is>
      </c>
      <c r="B54" t="inlineStr">
        <is>
          <t>centralindia</t>
        </is>
      </c>
      <c r="C54" t="inlineStr">
        <is>
          <t>Pune</t>
        </is>
      </c>
      <c r="D54" s="40" t="inlineStr">
        <is>
          <t>SI</t>
        </is>
      </c>
      <c r="E54" t="inlineStr">
        <is>
          <t>NO</t>
        </is>
      </c>
      <c r="F54" s="39" t="n">
        <v>1.2</v>
      </c>
      <c r="G54" t="inlineStr">
        <is>
          <t>Azure|centralindia</t>
        </is>
      </c>
    </row>
    <row r="55">
      <c r="A55" t="inlineStr">
        <is>
          <t>Azure</t>
        </is>
      </c>
      <c r="B55" t="inlineStr">
        <is>
          <t>newzealandnorth</t>
        </is>
      </c>
      <c r="C55" t="inlineStr">
        <is>
          <t>New Zealand North</t>
        </is>
      </c>
      <c r="D55" s="40" t="inlineStr">
        <is>
          <t>SI</t>
        </is>
      </c>
      <c r="E55" t="inlineStr">
        <is>
          <t>NO</t>
        </is>
      </c>
      <c r="F55" s="39" t="n">
        <v>1.1</v>
      </c>
      <c r="G55" t="inlineStr">
        <is>
          <t>Azure|newzealandnorth</t>
        </is>
      </c>
    </row>
    <row r="56">
      <c r="A56" t="inlineStr">
        <is>
          <t>Azure</t>
        </is>
      </c>
      <c r="B56" t="inlineStr">
        <is>
          <t>uaenorth</t>
        </is>
      </c>
      <c r="C56" t="inlineStr">
        <is>
          <t>Dubai</t>
        </is>
      </c>
      <c r="D56" s="40" t="inlineStr">
        <is>
          <t>SI</t>
        </is>
      </c>
      <c r="E56" t="inlineStr">
        <is>
          <t>NO</t>
        </is>
      </c>
      <c r="F56" s="39" t="n">
        <v>1.2</v>
      </c>
      <c r="G56" t="inlineStr">
        <is>
          <t>Azure|uaenorth</t>
        </is>
      </c>
    </row>
    <row r="57">
      <c r="A57" t="inlineStr">
        <is>
          <t>Azure</t>
        </is>
      </c>
      <c r="B57" t="inlineStr">
        <is>
          <t>qatarcentral</t>
        </is>
      </c>
      <c r="C57" t="inlineStr">
        <is>
          <t>Doha</t>
        </is>
      </c>
      <c r="D57" t="inlineStr">
        <is>
          <t>NO</t>
        </is>
      </c>
      <c r="E57" t="inlineStr">
        <is>
          <t>NO</t>
        </is>
      </c>
      <c r="F57" s="39" t="n">
        <v>1.2</v>
      </c>
      <c r="G57" t="inlineStr">
        <is>
          <t>Azure|qatarcentral</t>
        </is>
      </c>
    </row>
    <row r="58">
      <c r="A58" t="inlineStr">
        <is>
          <t>Azure</t>
        </is>
      </c>
      <c r="B58" t="inlineStr">
        <is>
          <t>southafricanorth</t>
        </is>
      </c>
      <c r="C58" t="inlineStr">
        <is>
          <t>Johannesburg</t>
        </is>
      </c>
      <c r="D58" s="40" t="inlineStr">
        <is>
          <t>SI</t>
        </is>
      </c>
      <c r="E58" t="inlineStr">
        <is>
          <t>NO</t>
        </is>
      </c>
      <c r="F58" s="39" t="n">
        <v>1.2</v>
      </c>
      <c r="G58" t="inlineStr">
        <is>
          <t>Azure|southafricanorth</t>
        </is>
      </c>
    </row>
    <row r="59">
      <c r="A59" t="inlineStr">
        <is>
          <t>Azure</t>
        </is>
      </c>
      <c r="B59" t="inlineStr">
        <is>
          <t>jioindiawest</t>
        </is>
      </c>
      <c r="C59" t="inlineStr">
        <is>
          <t>Jio (sin Private Link)</t>
        </is>
      </c>
      <c r="D59" t="inlineStr">
        <is>
          <t>NO</t>
        </is>
      </c>
      <c r="E59" s="41" t="inlineStr">
        <is>
          <t>SI</t>
        </is>
      </c>
      <c r="F59" s="39" t="n">
        <v>1.2</v>
      </c>
      <c r="G59" t="inlineStr">
        <is>
          <t>Azure|jioindiawest</t>
        </is>
      </c>
    </row>
    <row r="60">
      <c r="A60" t="inlineStr">
        <is>
          <t>Azure</t>
        </is>
      </c>
      <c r="B60" t="inlineStr">
        <is>
          <t>jioindiacentral</t>
        </is>
      </c>
      <c r="C60" t="inlineStr">
        <is>
          <t>Jio (sin Private Link)</t>
        </is>
      </c>
      <c r="D60" t="inlineStr">
        <is>
          <t>NO</t>
        </is>
      </c>
      <c r="E60" s="41" t="inlineStr">
        <is>
          <t>SI</t>
        </is>
      </c>
      <c r="F60" s="39" t="n">
        <v>1.2</v>
      </c>
      <c r="G60" t="inlineStr">
        <is>
          <t>Azure|jioindiacentral</t>
        </is>
      </c>
    </row>
    <row r="61">
      <c r="A61" t="inlineStr">
        <is>
          <t>GCP</t>
        </is>
      </c>
      <c r="B61" t="inlineStr">
        <is>
          <t>us-central1</t>
        </is>
      </c>
      <c r="C61" t="inlineStr">
        <is>
          <t>Iowa</t>
        </is>
      </c>
      <c r="D61" t="inlineStr">
        <is>
          <t>NO</t>
        </is>
      </c>
      <c r="E61" t="inlineStr">
        <is>
          <t>NO</t>
        </is>
      </c>
      <c r="F61" s="39" t="n">
        <v>1</v>
      </c>
      <c r="G61" t="inlineStr">
        <is>
          <t>GCP|us-central1</t>
        </is>
      </c>
    </row>
    <row r="62">
      <c r="A62" t="inlineStr">
        <is>
          <t>GCP</t>
        </is>
      </c>
      <c r="B62" t="inlineStr">
        <is>
          <t>us-east1</t>
        </is>
      </c>
      <c r="C62" t="inlineStr">
        <is>
          <t>South Carolina</t>
        </is>
      </c>
      <c r="D62" t="inlineStr">
        <is>
          <t>NO</t>
        </is>
      </c>
      <c r="E62" t="inlineStr">
        <is>
          <t>NO</t>
        </is>
      </c>
      <c r="F62" s="39" t="n">
        <v>1</v>
      </c>
      <c r="G62" t="inlineStr">
        <is>
          <t>GCP|us-east1</t>
        </is>
      </c>
    </row>
    <row r="63">
      <c r="A63" t="inlineStr">
        <is>
          <t>GCP</t>
        </is>
      </c>
      <c r="B63" t="inlineStr">
        <is>
          <t>us-east4</t>
        </is>
      </c>
      <c r="C63" t="inlineStr">
        <is>
          <t>N. Virginia</t>
        </is>
      </c>
      <c r="D63" t="inlineStr">
        <is>
          <t>NO</t>
        </is>
      </c>
      <c r="E63" t="inlineStr">
        <is>
          <t>NO</t>
        </is>
      </c>
      <c r="F63" s="39" t="n">
        <v>1</v>
      </c>
      <c r="G63" t="inlineStr">
        <is>
          <t>GCP|us-east4</t>
        </is>
      </c>
    </row>
    <row r="64">
      <c r="A64" t="inlineStr">
        <is>
          <t>GCP</t>
        </is>
      </c>
      <c r="B64" t="inlineStr">
        <is>
          <t>us-west1</t>
        </is>
      </c>
      <c r="C64" t="inlineStr">
        <is>
          <t>Oregon</t>
        </is>
      </c>
      <c r="D64" t="inlineStr">
        <is>
          <t>NO</t>
        </is>
      </c>
      <c r="E64" t="inlineStr">
        <is>
          <t>NO</t>
        </is>
      </c>
      <c r="F64" s="39" t="n">
        <v>1</v>
      </c>
      <c r="G64" t="inlineStr">
        <is>
          <t>GCP|us-west1</t>
        </is>
      </c>
    </row>
    <row r="65">
      <c r="A65" t="inlineStr">
        <is>
          <t>GCP</t>
        </is>
      </c>
      <c r="B65" t="inlineStr">
        <is>
          <t>us-west2</t>
        </is>
      </c>
      <c r="C65" t="inlineStr">
        <is>
          <t>Los Angeles</t>
        </is>
      </c>
      <c r="D65" t="inlineStr">
        <is>
          <t>NO</t>
        </is>
      </c>
      <c r="E65" t="inlineStr">
        <is>
          <t>NO</t>
        </is>
      </c>
      <c r="F65" s="39" t="n">
        <v>1</v>
      </c>
      <c r="G65" t="inlineStr">
        <is>
          <t>GCP|us-west2</t>
        </is>
      </c>
    </row>
    <row r="66">
      <c r="A66" t="inlineStr">
        <is>
          <t>GCP</t>
        </is>
      </c>
      <c r="B66" t="inlineStr">
        <is>
          <t>us-west4</t>
        </is>
      </c>
      <c r="C66" t="inlineStr">
        <is>
          <t>Las Vegas</t>
        </is>
      </c>
      <c r="D66" t="inlineStr">
        <is>
          <t>NO</t>
        </is>
      </c>
      <c r="E66" t="inlineStr">
        <is>
          <t>NO</t>
        </is>
      </c>
      <c r="F66" s="39" t="n">
        <v>1</v>
      </c>
      <c r="G66" t="inlineStr">
        <is>
          <t>GCP|us-west4</t>
        </is>
      </c>
    </row>
    <row r="67">
      <c r="A67" t="inlineStr">
        <is>
          <t>GCP</t>
        </is>
      </c>
      <c r="B67" t="inlineStr">
        <is>
          <t>us-south1</t>
        </is>
      </c>
      <c r="C67" t="inlineStr">
        <is>
          <t>Dallas</t>
        </is>
      </c>
      <c r="D67" t="inlineStr">
        <is>
          <t>NO</t>
        </is>
      </c>
      <c r="E67" t="inlineStr">
        <is>
          <t>NO</t>
        </is>
      </c>
      <c r="F67" s="39" t="n">
        <v>1</v>
      </c>
      <c r="G67" t="inlineStr">
        <is>
          <t>GCP|us-south1</t>
        </is>
      </c>
    </row>
    <row r="68">
      <c r="A68" t="inlineStr">
        <is>
          <t>GCP</t>
        </is>
      </c>
      <c r="B68" t="inlineStr">
        <is>
          <t>northamerica-northeast1</t>
        </is>
      </c>
      <c r="C68" t="inlineStr">
        <is>
          <t>Montreal</t>
        </is>
      </c>
      <c r="D68" t="inlineStr">
        <is>
          <t>NO</t>
        </is>
      </c>
      <c r="E68" t="inlineStr">
        <is>
          <t>NO</t>
        </is>
      </c>
      <c r="F68" s="39" t="n">
        <v>1</v>
      </c>
      <c r="G68" t="inlineStr">
        <is>
          <t>GCP|northamerica-northeast1</t>
        </is>
      </c>
    </row>
    <row r="69">
      <c r="A69" t="inlineStr">
        <is>
          <t>GCP</t>
        </is>
      </c>
      <c r="B69" t="inlineStr">
        <is>
          <t>northamerica-northeast2</t>
        </is>
      </c>
      <c r="C69" t="inlineStr">
        <is>
          <t>Toronto</t>
        </is>
      </c>
      <c r="D69" t="inlineStr">
        <is>
          <t>NO</t>
        </is>
      </c>
      <c r="E69" t="inlineStr">
        <is>
          <t>NO</t>
        </is>
      </c>
      <c r="F69" s="39" t="n">
        <v>1</v>
      </c>
      <c r="G69" t="inlineStr">
        <is>
          <t>GCP|northamerica-northeast2</t>
        </is>
      </c>
    </row>
    <row r="70">
      <c r="A70" t="inlineStr">
        <is>
          <t>GCP</t>
        </is>
      </c>
      <c r="B70" t="inlineStr">
        <is>
          <t>southamerica-east1</t>
        </is>
      </c>
      <c r="C70" t="inlineStr">
        <is>
          <t>São Paulo</t>
        </is>
      </c>
      <c r="D70" s="40" t="inlineStr">
        <is>
          <t>SI</t>
        </is>
      </c>
      <c r="E70" t="inlineStr">
        <is>
          <t>NO</t>
        </is>
      </c>
      <c r="F70" s="39" t="n">
        <v>1.2</v>
      </c>
      <c r="G70" t="inlineStr">
        <is>
          <t>GCP|southamerica-east1</t>
        </is>
      </c>
    </row>
    <row r="71">
      <c r="A71" t="inlineStr">
        <is>
          <t>GCP</t>
        </is>
      </c>
      <c r="B71" t="inlineStr">
        <is>
          <t>southamerica-west1</t>
        </is>
      </c>
      <c r="C71" t="inlineStr">
        <is>
          <t>Santiago</t>
        </is>
      </c>
      <c r="D71" s="40" t="inlineStr">
        <is>
          <t>SI</t>
        </is>
      </c>
      <c r="E71" t="inlineStr">
        <is>
          <t>NO</t>
        </is>
      </c>
      <c r="F71" s="39" t="n">
        <v>1.2</v>
      </c>
      <c r="G71" t="inlineStr">
        <is>
          <t>GCP|southamerica-west1</t>
        </is>
      </c>
    </row>
    <row r="72">
      <c r="A72" t="inlineStr">
        <is>
          <t>GCP</t>
        </is>
      </c>
      <c r="B72" t="inlineStr">
        <is>
          <t>europe-west1</t>
        </is>
      </c>
      <c r="C72" t="inlineStr">
        <is>
          <t>Belgium</t>
        </is>
      </c>
      <c r="D72" t="inlineStr">
        <is>
          <t>NO</t>
        </is>
      </c>
      <c r="E72" t="inlineStr">
        <is>
          <t>NO</t>
        </is>
      </c>
      <c r="F72" s="39" t="n">
        <v>1</v>
      </c>
      <c r="G72" t="inlineStr">
        <is>
          <t>GCP|europe-west1</t>
        </is>
      </c>
    </row>
    <row r="73">
      <c r="A73" t="inlineStr">
        <is>
          <t>GCP</t>
        </is>
      </c>
      <c r="B73" t="inlineStr">
        <is>
          <t>europe-west2</t>
        </is>
      </c>
      <c r="C73" t="inlineStr">
        <is>
          <t>London</t>
        </is>
      </c>
      <c r="D73" s="40" t="inlineStr">
        <is>
          <t>SI</t>
        </is>
      </c>
      <c r="E73" t="inlineStr">
        <is>
          <t>NO</t>
        </is>
      </c>
      <c r="F73" s="39" t="n">
        <v>1.1</v>
      </c>
      <c r="G73" t="inlineStr">
        <is>
          <t>GCP|europe-west2</t>
        </is>
      </c>
    </row>
    <row r="74">
      <c r="A74" t="inlineStr">
        <is>
          <t>GCP</t>
        </is>
      </c>
      <c r="B74" t="inlineStr">
        <is>
          <t>europe-west3</t>
        </is>
      </c>
      <c r="C74" t="inlineStr">
        <is>
          <t>Frankfurt</t>
        </is>
      </c>
      <c r="D74" t="inlineStr">
        <is>
          <t>NO</t>
        </is>
      </c>
      <c r="E74" t="inlineStr">
        <is>
          <t>NO</t>
        </is>
      </c>
      <c r="F74" s="39" t="n">
        <v>1</v>
      </c>
      <c r="G74" t="inlineStr">
        <is>
          <t>GCP|europe-west3</t>
        </is>
      </c>
    </row>
    <row r="75">
      <c r="A75" t="inlineStr">
        <is>
          <t>GCP</t>
        </is>
      </c>
      <c r="B75" t="inlineStr">
        <is>
          <t>europe-west4</t>
        </is>
      </c>
      <c r="C75" t="inlineStr">
        <is>
          <t>Netherlands</t>
        </is>
      </c>
      <c r="D75" t="inlineStr">
        <is>
          <t>NO</t>
        </is>
      </c>
      <c r="E75" t="inlineStr">
        <is>
          <t>NO</t>
        </is>
      </c>
      <c r="F75" s="39" t="n">
        <v>1</v>
      </c>
      <c r="G75" t="inlineStr">
        <is>
          <t>GCP|europe-west4</t>
        </is>
      </c>
    </row>
    <row r="76">
      <c r="A76" t="inlineStr">
        <is>
          <t>GCP</t>
        </is>
      </c>
      <c r="B76" t="inlineStr">
        <is>
          <t>europe-west6</t>
        </is>
      </c>
      <c r="C76" t="inlineStr">
        <is>
          <t>Zurich</t>
        </is>
      </c>
      <c r="D76" t="inlineStr">
        <is>
          <t>NO</t>
        </is>
      </c>
      <c r="E76" t="inlineStr">
        <is>
          <t>NO</t>
        </is>
      </c>
      <c r="F76" s="39" t="n">
        <v>1.1</v>
      </c>
      <c r="G76" t="inlineStr">
        <is>
          <t>GCP|europe-west6</t>
        </is>
      </c>
    </row>
    <row r="77">
      <c r="A77" t="inlineStr">
        <is>
          <t>GCP</t>
        </is>
      </c>
      <c r="B77" t="inlineStr">
        <is>
          <t>europe-west8</t>
        </is>
      </c>
      <c r="C77" t="inlineStr">
        <is>
          <t>Milan</t>
        </is>
      </c>
      <c r="D77" t="inlineStr">
        <is>
          <t>NO</t>
        </is>
      </c>
      <c r="E77" t="inlineStr">
        <is>
          <t>NO</t>
        </is>
      </c>
      <c r="F77" s="39" t="n">
        <v>1</v>
      </c>
      <c r="G77" t="inlineStr">
        <is>
          <t>GCP|europe-west8</t>
        </is>
      </c>
    </row>
    <row r="78">
      <c r="A78" t="inlineStr">
        <is>
          <t>GCP</t>
        </is>
      </c>
      <c r="B78" t="inlineStr">
        <is>
          <t>europe-north1</t>
        </is>
      </c>
      <c r="C78" t="inlineStr">
        <is>
          <t>Finland</t>
        </is>
      </c>
      <c r="D78" t="inlineStr">
        <is>
          <t>NO</t>
        </is>
      </c>
      <c r="E78" t="inlineStr">
        <is>
          <t>NO</t>
        </is>
      </c>
      <c r="F78" s="39" t="n">
        <v>1</v>
      </c>
      <c r="G78" t="inlineStr">
        <is>
          <t>GCP|europe-north1</t>
        </is>
      </c>
    </row>
    <row r="79">
      <c r="A79" t="inlineStr">
        <is>
          <t>GCP</t>
        </is>
      </c>
      <c r="B79" t="inlineStr">
        <is>
          <t>europe-southwest1</t>
        </is>
      </c>
      <c r="C79" t="inlineStr">
        <is>
          <t>Madrid</t>
        </is>
      </c>
      <c r="D79" t="inlineStr">
        <is>
          <t>NO</t>
        </is>
      </c>
      <c r="E79" t="inlineStr">
        <is>
          <t>NO</t>
        </is>
      </c>
      <c r="F79" s="39" t="n">
        <v>1</v>
      </c>
      <c r="G79" t="inlineStr">
        <is>
          <t>GCP|europe-southwest1</t>
        </is>
      </c>
    </row>
    <row r="80">
      <c r="A80" t="inlineStr">
        <is>
          <t>GCP</t>
        </is>
      </c>
      <c r="B80" t="inlineStr">
        <is>
          <t>asia-east1</t>
        </is>
      </c>
      <c r="C80" t="inlineStr">
        <is>
          <t>Taiwan</t>
        </is>
      </c>
      <c r="D80" t="inlineStr">
        <is>
          <t>NO</t>
        </is>
      </c>
      <c r="E80" t="inlineStr">
        <is>
          <t>NO</t>
        </is>
      </c>
      <c r="F80" s="39" t="n">
        <v>1.1</v>
      </c>
      <c r="G80" t="inlineStr">
        <is>
          <t>GCP|asia-east1</t>
        </is>
      </c>
    </row>
    <row r="81">
      <c r="A81" t="inlineStr">
        <is>
          <t>GCP</t>
        </is>
      </c>
      <c r="B81" t="inlineStr">
        <is>
          <t>asia-east2</t>
        </is>
      </c>
      <c r="C81" t="inlineStr">
        <is>
          <t>Hong Kong (docs 1.2x)</t>
        </is>
      </c>
      <c r="D81" t="inlineStr">
        <is>
          <t>NO</t>
        </is>
      </c>
      <c r="E81" t="inlineStr">
        <is>
          <t>NO</t>
        </is>
      </c>
      <c r="F81" s="39" t="n">
        <v>1.2</v>
      </c>
      <c r="G81" t="inlineStr">
        <is>
          <t>GCP|asia-east2</t>
        </is>
      </c>
    </row>
    <row r="82">
      <c r="A82" t="inlineStr">
        <is>
          <t>GCP</t>
        </is>
      </c>
      <c r="B82" t="inlineStr">
        <is>
          <t>asia-northeast1</t>
        </is>
      </c>
      <c r="C82" t="inlineStr">
        <is>
          <t>Tokyo</t>
        </is>
      </c>
      <c r="D82" t="inlineStr">
        <is>
          <t>NO</t>
        </is>
      </c>
      <c r="E82" t="inlineStr">
        <is>
          <t>NO</t>
        </is>
      </c>
      <c r="F82" s="39" t="n">
        <v>1.1</v>
      </c>
      <c r="G82" t="inlineStr">
        <is>
          <t>GCP|asia-northeast1</t>
        </is>
      </c>
    </row>
    <row r="83">
      <c r="A83" t="inlineStr">
        <is>
          <t>GCP</t>
        </is>
      </c>
      <c r="B83" t="inlineStr">
        <is>
          <t>asia-south1</t>
        </is>
      </c>
      <c r="C83" t="inlineStr">
        <is>
          <t>Mumbai</t>
        </is>
      </c>
      <c r="D83" s="40" t="inlineStr">
        <is>
          <t>SI</t>
        </is>
      </c>
      <c r="E83" t="inlineStr">
        <is>
          <t>NO</t>
        </is>
      </c>
      <c r="F83" s="39" t="n">
        <v>1.2</v>
      </c>
      <c r="G83" t="inlineStr">
        <is>
          <t>GCP|asia-south1</t>
        </is>
      </c>
    </row>
    <row r="84">
      <c r="A84" t="inlineStr">
        <is>
          <t>GCP</t>
        </is>
      </c>
      <c r="B84" t="inlineStr">
        <is>
          <t>asia-south2</t>
        </is>
      </c>
      <c r="C84" t="inlineStr">
        <is>
          <t>Delhi</t>
        </is>
      </c>
      <c r="D84" t="inlineStr">
        <is>
          <t>NO</t>
        </is>
      </c>
      <c r="E84" t="inlineStr">
        <is>
          <t>NO</t>
        </is>
      </c>
      <c r="F84" s="39" t="n">
        <v>1.2</v>
      </c>
      <c r="G84" t="inlineStr">
        <is>
          <t>GCP|asia-south2</t>
        </is>
      </c>
    </row>
    <row r="85">
      <c r="A85" t="inlineStr">
        <is>
          <t>GCP</t>
        </is>
      </c>
      <c r="B85" t="inlineStr">
        <is>
          <t>asia-southeast1</t>
        </is>
      </c>
      <c r="C85" t="inlineStr">
        <is>
          <t>Singapore</t>
        </is>
      </c>
      <c r="D85" t="inlineStr">
        <is>
          <t>NO</t>
        </is>
      </c>
      <c r="E85" t="inlineStr">
        <is>
          <t>NO</t>
        </is>
      </c>
      <c r="F85" s="39" t="n">
        <v>1.1</v>
      </c>
      <c r="G85" t="inlineStr">
        <is>
          <t>GCP|asia-southeast1</t>
        </is>
      </c>
    </row>
    <row r="86">
      <c r="A86" t="inlineStr">
        <is>
          <t>GCP</t>
        </is>
      </c>
      <c r="B86" t="inlineStr">
        <is>
          <t>asia-southeast2</t>
        </is>
      </c>
      <c r="C86" t="inlineStr">
        <is>
          <t>Jakarta</t>
        </is>
      </c>
      <c r="D86" t="inlineStr">
        <is>
          <t>NO</t>
        </is>
      </c>
      <c r="E86" t="inlineStr">
        <is>
          <t>NO</t>
        </is>
      </c>
      <c r="F86" s="39" t="n">
        <v>1.1</v>
      </c>
      <c r="G86" t="inlineStr">
        <is>
          <t>GCP|asia-southeast2</t>
        </is>
      </c>
    </row>
    <row r="87">
      <c r="A87" t="inlineStr">
        <is>
          <t>GCP</t>
        </is>
      </c>
      <c r="B87" t="inlineStr">
        <is>
          <t>australia-southeast1</t>
        </is>
      </c>
      <c r="C87" t="inlineStr">
        <is>
          <t>Sydney</t>
        </is>
      </c>
      <c r="D87" s="40" t="inlineStr">
        <is>
          <t>SI</t>
        </is>
      </c>
      <c r="E87" t="inlineStr">
        <is>
          <t>NO</t>
        </is>
      </c>
      <c r="F87" s="39" t="n">
        <v>1.1</v>
      </c>
      <c r="G87" t="inlineStr">
        <is>
          <t>GCP|australia-southeast1</t>
        </is>
      </c>
    </row>
    <row r="88">
      <c r="A88" t="inlineStr">
        <is>
          <t>GCP</t>
        </is>
      </c>
      <c r="B88" t="inlineStr">
        <is>
          <t>australia-southeast2</t>
        </is>
      </c>
      <c r="C88" t="inlineStr">
        <is>
          <t>Melbourne</t>
        </is>
      </c>
      <c r="D88" t="inlineStr">
        <is>
          <t>NO</t>
        </is>
      </c>
      <c r="E88" t="inlineStr">
        <is>
          <t>NO</t>
        </is>
      </c>
      <c r="F88" s="39" t="n">
        <v>1.1</v>
      </c>
      <c r="G88" t="inlineStr">
        <is>
          <t>GCP|australia-southeast2</t>
        </is>
      </c>
    </row>
    <row r="89">
      <c r="A89" t="inlineStr">
        <is>
          <t>GCP</t>
        </is>
      </c>
      <c r="B89" t="inlineStr">
        <is>
          <t>me-west1</t>
        </is>
      </c>
      <c r="C89" t="inlineStr">
        <is>
          <t>Tel Aviv</t>
        </is>
      </c>
      <c r="D89" t="inlineStr">
        <is>
          <t>NO</t>
        </is>
      </c>
      <c r="E89" t="inlineStr">
        <is>
          <t>NO</t>
        </is>
      </c>
      <c r="F89" s="39" t="n">
        <v>1.1</v>
      </c>
      <c r="G89" t="inlineStr">
        <is>
          <t>GCP|me-west1</t>
        </is>
      </c>
    </row>
    <row r="90">
      <c r="A90" t="inlineStr">
        <is>
          <t>GCP</t>
        </is>
      </c>
      <c r="B90" t="inlineStr">
        <is>
          <t>me-central2</t>
        </is>
      </c>
      <c r="C90" t="inlineStr">
        <is>
          <t>Dammam</t>
        </is>
      </c>
      <c r="D90" t="inlineStr">
        <is>
          <t>NO</t>
        </is>
      </c>
      <c r="E90" t="inlineStr">
        <is>
          <t>NO</t>
        </is>
      </c>
      <c r="F90" s="39" t="n">
        <v>1.2</v>
      </c>
      <c r="G90" t="inlineStr">
        <is>
          <t>GCP|me-central2</t>
        </is>
      </c>
    </row>
  </sheetData>
  <autoFilter ref="A1:G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</cols>
  <sheetData>
    <row r="1">
      <c r="A1" s="32" t="inlineStr">
        <is>
          <t>Cloud</t>
        </is>
      </c>
      <c r="B1" s="32" t="inlineStr">
        <is>
          <t>Availability</t>
        </is>
      </c>
      <c r="C1" s="32" t="inlineStr">
        <is>
          <t>Direccion</t>
        </is>
      </c>
    </row>
    <row r="2">
      <c r="A2" t="inlineStr">
        <is>
          <t>AWS</t>
        </is>
      </c>
      <c r="B2" t="inlineStr">
        <is>
          <t>Multi-zone</t>
        </is>
      </c>
      <c r="C2" t="inlineStr">
        <is>
          <t>Unidirectional</t>
        </is>
      </c>
    </row>
    <row r="3">
      <c r="A3" t="inlineStr">
        <is>
          <t>Azure</t>
        </is>
      </c>
      <c r="B3" t="inlineStr">
        <is>
          <t>Single-zone</t>
        </is>
      </c>
      <c r="C3" t="inlineStr">
        <is>
          <t>Bidirectional</t>
        </is>
      </c>
    </row>
    <row r="4">
      <c r="A4" t="inlineStr">
        <is>
          <t>GCP</t>
        </is>
      </c>
      <c r="C4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A524"/>
    <outlinePr summaryBelow="1" summaryRight="1"/>
    <pageSetUpPr/>
  </sheetPr>
  <dimension ref="A1:C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10" customWidth="1" min="3" max="3"/>
  </cols>
  <sheetData>
    <row r="1">
      <c r="A1" s="1" t="inlineStr">
        <is>
          <t>Consideraciones oficiales · Dedicated Private Link + Cluster Linking</t>
        </is>
      </c>
    </row>
    <row r="2">
      <c r="A2" s="32" t="inlineStr">
        <is>
          <t>Fuente</t>
        </is>
      </c>
      <c r="B2" s="32" t="inlineStr">
        <is>
          <t>Regla</t>
        </is>
      </c>
      <c r="C2" s="32" t="inlineStr">
        <is>
          <t>Detalle</t>
        </is>
      </c>
    </row>
    <row r="3" ht="36" customHeight="1">
      <c r="A3" s="9" t="inlineStr">
        <is>
          <t>Billing Dimensions</t>
        </is>
      </c>
      <c r="B3" s="9" t="inlineStr">
        <is>
          <t>Hourly público</t>
        </is>
      </c>
      <c r="C3" s="42" t="inlineStr">
        <is>
          <t>$0.25/h por cluster con internet endpoints. Ambos clusters pagan si ambos son Confluent Cloud.</t>
        </is>
      </c>
    </row>
    <row r="4" ht="36" customHeight="1">
      <c r="A4" s="9" t="inlineStr">
        <is>
          <t>Billing Dimensions</t>
        </is>
      </c>
      <c r="B4" s="9" t="inlineStr">
        <is>
          <t>Hourly private intra-cloud</t>
        </is>
      </c>
      <c r="C4" s="42" t="inlineStr">
        <is>
          <t>$0.50/h por cluster privately networked. Bidirectional = 2 links al rate más alto ($0.50).</t>
        </is>
      </c>
    </row>
    <row r="5" ht="36" customHeight="1">
      <c r="A5" s="9" t="inlineStr">
        <is>
          <t>Billing Dimensions</t>
        </is>
      </c>
      <c r="B5" s="9" t="inlineStr">
        <is>
          <t>Hourly cross-cloud private</t>
        </is>
      </c>
      <c r="C5" s="42" t="inlineStr">
        <is>
          <t>Aplica si (1) distinto cloud provider y (2) ambos usan private networking. $2.50/h por cluster, $5.00 si Premium region.</t>
        </is>
      </c>
    </row>
    <row r="6" ht="36" customHeight="1">
      <c r="A6" s="9" t="inlineStr">
        <is>
          <t>Billing Dimensions</t>
        </is>
      </c>
      <c r="B6" s="9" t="inlineStr">
        <is>
          <t>ClusterLinkingWrite</t>
        </is>
      </c>
      <c r="C6" s="42" t="inlineStr">
        <is>
          <t>Mismo precio que KafkaNetworkWrite del destination. No se cobra Kafka ingress adicional.</t>
        </is>
      </c>
    </row>
    <row r="7" ht="36" customHeight="1">
      <c r="A7" s="9" t="inlineStr">
        <is>
          <t>Billing Dimensions</t>
        </is>
      </c>
      <c r="B7" s="9" t="inlineStr">
        <is>
          <t>ClusterLinkingRead</t>
        </is>
      </c>
      <c r="C7" s="42" t="inlineStr">
        <is>
          <t>$0.25/GB incluyendo metadata. Confluent paga el egress del cloud provider. Hay volume discounts con account team.</t>
        </is>
      </c>
    </row>
    <row r="8" ht="36" customHeight="1">
      <c r="A8" s="9" t="inlineStr">
        <is>
          <t>Billing Dimensions</t>
        </is>
      </c>
      <c r="B8" s="9" t="inlineStr">
        <is>
          <t>Se cobra el objeto</t>
        </is>
      </c>
      <c r="C8" s="42" t="inlineStr">
        <is>
          <t>Hay cargo aunque no exista mirror topic ni throughput. Confluent no de-duplica links idénticos.</t>
        </is>
      </c>
    </row>
    <row r="9" ht="36" customHeight="1">
      <c r="A9" s="9" t="inlineStr">
        <is>
          <t>Billing Dimensions</t>
        </is>
      </c>
      <c r="B9" s="9" t="inlineStr">
        <is>
          <t>Regional multiplier</t>
        </is>
      </c>
      <c r="C9" s="42" t="inlineStr">
        <is>
          <t>Se aplica a precios base. Ejemplo docs: AWS us-east-1 = 1.0×, GCP asia-east2 = 1.2×. Los $2.50/$5.00 ya son el hourly cross-cloud; no se re-multiplica.</t>
        </is>
      </c>
    </row>
    <row r="10" ht="36" customHeight="1">
      <c r="A10" s="9" t="inlineStr">
        <is>
          <t>Billing Dimensions</t>
        </is>
      </c>
      <c r="B10" s="9" t="inlineStr">
        <is>
          <t>Storage RF=3</t>
        </is>
      </c>
      <c r="C10" s="42" t="inlineStr">
        <is>
          <t>Storage se factura post-replication. Dedicated replica 3 veces ≈ 3× el volumen escrito.</t>
        </is>
      </c>
    </row>
    <row r="11" ht="36" customHeight="1">
      <c r="A11" s="9" t="inlineStr">
        <is>
          <t>Billing Dimensions</t>
        </is>
      </c>
      <c r="B11" s="9" t="inlineStr">
        <is>
          <t>GiB y UTC</t>
        </is>
      </c>
      <c r="C11" s="42" t="inlineStr">
        <is>
          <t>1 GB = 2^30 bytes. Billing en UTC.</t>
        </is>
      </c>
    </row>
    <row r="12" ht="36" customHeight="1">
      <c r="A12" s="9" t="inlineStr">
        <is>
          <t>Cluster Linking private</t>
        </is>
      </c>
      <c r="B12" s="43" t="inlineStr">
        <is>
          <t>Misma organization</t>
        </is>
      </c>
      <c r="C12" s="42" t="inlineStr">
        <is>
          <t>Dedicated/Enterprise private → private (mismo o distinto cloud) exige la misma Confluent Cloud Organization. Cross-org no soportado.</t>
        </is>
      </c>
    </row>
    <row r="13" ht="36" customHeight="1">
      <c r="A13" s="9" t="inlineStr">
        <is>
          <t>Cluster Linking private</t>
        </is>
      </c>
      <c r="B13" s="9" t="inlineStr">
        <is>
          <t>Dedicated ↔ Dedicated private</t>
        </is>
      </c>
      <c r="C13" s="42" t="inlineStr">
        <is>
          <t>Soportado AWS↔Azure↔GCP. Source-initiated, destination-initiated o bidirectional.</t>
        </is>
      </c>
    </row>
    <row r="14" ht="36" customHeight="1">
      <c r="A14" s="9" t="inlineStr">
        <is>
          <t>Cluster Linking private</t>
        </is>
      </c>
      <c r="B14" s="9" t="inlineStr">
        <is>
          <t>Private → Public</t>
        </is>
      </c>
      <c r="C14" s="42" t="inlineStr">
        <is>
          <t>Requiere source-initiated link. No se crea desde Cloud Console en todos los casos.</t>
        </is>
      </c>
    </row>
    <row r="15" ht="36" customHeight="1">
      <c r="A15" s="9" t="inlineStr">
        <is>
          <t>Regions</t>
        </is>
      </c>
      <c r="B15" s="9" t="inlineStr">
        <is>
          <t>Premium region</t>
        </is>
      </c>
      <c r="C15" s="42" t="inlineStr">
        <is>
          <t>Fila Premium region (cross-cloud private networking) en las tablas de AWS/Azure/GCP. Solo encarece el hourly cross-cloud private.</t>
        </is>
      </c>
    </row>
    <row r="16" ht="36" customHeight="1">
      <c r="A16" s="9" t="inlineStr">
        <is>
          <t>Regions</t>
        </is>
      </c>
      <c r="B16" s="43" t="inlineStr">
        <is>
          <t>Jio</t>
        </is>
      </c>
      <c r="C16" s="42" t="inlineStr">
        <is>
          <t>jioindiawest / jioindiacentral: solo VNet Peering Dedicated. No hay Azure Private Link.</t>
        </is>
      </c>
    </row>
    <row r="17" ht="36" customHeight="1">
      <c r="A17" s="9" t="inlineStr">
        <is>
          <t>Cluster types</t>
        </is>
      </c>
      <c r="B17" s="9" t="inlineStr">
        <is>
          <t>CKU</t>
        </is>
      </c>
      <c r="C17" s="42" t="inlineStr">
        <is>
          <t>60 MBps ingress / 180 MBps egress / 4.500 partitions por CKU. Multi-zone mínimo 2 CKU. Single-zone 1+. Zone availability no se cambia después.</t>
        </is>
      </c>
    </row>
    <row r="18" ht="36" customHeight="1">
      <c r="A18" s="9" t="inlineStr">
        <is>
          <t>Cluster types</t>
        </is>
      </c>
      <c r="B18" s="9" t="inlineStr">
        <is>
          <t>Tope CKU</t>
        </is>
      </c>
      <c r="C18" s="42" t="inlineStr">
        <is>
          <t>Credit card: 4 CKU. Invoice: 24 CKU, más por request. Soft max AWS 252 / Azure 100 / GCP 152.</t>
        </is>
      </c>
    </row>
    <row r="19" ht="36" customHeight="1">
      <c r="A19" s="9" t="inlineStr">
        <is>
          <t>Azure PL Dedicated</t>
        </is>
      </c>
      <c r="B19" s="9" t="inlineStr">
        <is>
          <t>Endpoints</t>
        </is>
      </c>
      <c r="C19" s="42" t="inlineStr">
        <is>
          <t>Single-zone: 1 PE al Service Alias zonal. Multi-zone: 3 PE. Registrar subscription ID. El PE puede estar en otra región que el PLS.</t>
        </is>
      </c>
    </row>
    <row r="20" ht="36" customHeight="1">
      <c r="A20" s="9" t="inlineStr">
        <is>
          <t>Azure PL Dedicated</t>
        </is>
      </c>
      <c r="B20" s="9" t="inlineStr">
        <is>
          <t>DNS</t>
        </is>
      </c>
      <c r="C20" s="42" t="inlineStr">
        <is>
          <t>Private DNS recomendado. Zone name sin lkc- si el DNS domain lo trae. Records: * y *.az1/az2/az3. No hardcodear brokers.</t>
        </is>
      </c>
    </row>
    <row r="21" ht="36" customHeight="1">
      <c r="A21" s="9" t="inlineStr">
        <is>
          <t>Azure PL Dedicated</t>
        </is>
      </c>
      <c r="B21" s="43" t="inlineStr">
        <is>
          <t>No conversión</t>
        </is>
      </c>
      <c r="C21" s="42" t="inlineStr">
        <is>
          <t>Un cluster existente no se convierte a Private Link. DNS resolution tampoco se cambia después.</t>
        </is>
      </c>
    </row>
    <row r="22" ht="36" customHeight="1">
      <c r="A22" s="9" t="inlineStr">
        <is>
          <t>AWS PL Dedicated</t>
        </is>
      </c>
      <c r="B22" s="9" t="inlineStr">
        <is>
          <t>AZ matching</t>
        </is>
      </c>
      <c r="C22" s="42" t="inlineStr">
        <is>
          <t>Las AZ del VPC deben incluir las del cluster. Un VPC endpoint con subnet por AZ. Desmarcar Enable DNS name. SG: TCP 80, 443, 9092.</t>
        </is>
      </c>
    </row>
    <row r="23" ht="36" customHeight="1">
      <c r="A23" s="9" t="inlineStr">
        <is>
          <t>AWS PL Dedicated</t>
        </is>
      </c>
      <c r="B23" s="9" t="inlineStr">
        <is>
          <t>Sin PL cross-region</t>
        </is>
      </c>
      <c r="C23" s="42" t="inlineStr">
        <is>
          <t>Cross-region PrivateLink Attachment Connections no soportadas. use1-az3 en us-east-1 no se usa.</t>
        </is>
      </c>
    </row>
    <row r="24" ht="36" customHeight="1">
      <c r="A24" s="9" t="inlineStr">
        <is>
          <t>GCP PSC Dedicated</t>
        </is>
      </c>
      <c r="B24" s="9" t="inlineStr">
        <is>
          <t>Endpoints</t>
        </is>
      </c>
      <c r="C24" s="42" t="inlineStr">
        <is>
          <t>Single-zone: 1 PSC. Multi-zone: 3 PSC, uno por Service Attachment URI. Subnets en las mismas zonas.</t>
        </is>
      </c>
    </row>
    <row r="25" ht="36" customHeight="1">
      <c r="A25" s="9" t="inlineStr">
        <is>
          <t>GCP PSC Dedicated</t>
        </is>
      </c>
      <c r="B25" s="9" t="inlineStr">
        <is>
          <t>Attach same-region</t>
        </is>
      </c>
      <c r="C25" s="42" t="inlineStr">
        <is>
          <t>El attachment inicial no es cross-region. Después se puede activar PSC Global Access en el forwarding rule.</t>
        </is>
      </c>
    </row>
    <row r="26" ht="36" customHeight="1">
      <c r="A26" s="9" t="inlineStr">
        <is>
          <t>PL Dedicated (los 3)</t>
        </is>
      </c>
      <c r="B26" s="9" t="inlineStr">
        <is>
          <t>Internet residual</t>
        </is>
      </c>
      <c r="C26" s="42" t="inlineStr">
        <is>
          <t>Schema Registry, Confluent CLI (control plane) y provisioning de ksqlDB requieren outbound Internet. ksqlDB ya up habla por PL. Console necesita config extra.</t>
        </is>
      </c>
    </row>
    <row r="27" ht="36" customHeight="1">
      <c r="A27" s="9" t="inlineStr">
        <is>
          <t>PL Dedicated (los 3)</t>
        </is>
      </c>
      <c r="B27" s="9" t="inlineStr">
        <is>
          <t>Connectors</t>
        </is>
      </c>
      <c r="C27" s="42" t="inlineStr">
        <is>
          <t>Sources/sinks privados usan Egress Private Link Endpoints, no el inbound PL del cluster Kafka.</t>
        </is>
      </c>
    </row>
    <row r="28" ht="36" customHeight="1">
      <c r="A28" s="9" t="inlineStr">
        <is>
          <t>PL Dedicated (los 3)</t>
        </is>
      </c>
      <c r="B28" s="9" t="inlineStr">
        <is>
          <t>Flink / SR</t>
        </is>
      </c>
      <c r="C28" s="42" t="inlineStr">
        <is>
          <t>El inbound PL de Dedicated también puede usarse para algunos productos serverless (Flink, Schema Registry) según docs de cada servicio.</t>
        </is>
      </c>
    </row>
  </sheetData>
  <autoFilter ref="A2:C28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2026-10-22T22:26:28Z</dcterms:created>
  <dcterms:modified xsi:type="dcterms:W3CDTF">2026-10-22T22:26:29Z</dcterms:modified>
</cp:coreProperties>
</file>