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Resumen" sheetId="2" state="visible" r:id="rId2"/>
    <sheet name="Listas" sheetId="3" state="visible" r:id="rId3"/>
    <sheet name="Workflows" sheetId="4" state="visible" r:id="rId4"/>
    <sheet name="Pasos" sheetId="5" state="visible" r:id="rId5"/>
    <sheet name="Catalogo" sheetId="6" state="visible" r:id="rId6"/>
  </sheets>
  <definedNames>
    <definedName name="RATE_ACTIONS">Tarifas!$B$4</definedName>
    <definedName name="RATE_ACTIVE">Tarifas!$B$5</definedName>
    <definedName name="RATE_RETAINED">Tarifas!$B$6</definedName>
    <definedName name="HORAS_MES">Tarifas!$B$7</definedName>
    <definedName name="ORIGENES">Listas!$A$2:$A$5</definedName>
    <definedName name="TIPOS">Listas!$B$2:$B$13</definedName>
    <definedName name="TIPO_UNIDAD">Listas!$B$2:$C$13</definedName>
    <definedName name="WF_NAMES">Workflows!$A$2:$A$21</definedName>
    <definedName name="_xlnm._FilterDatabase" localSheetId="3" hidden="1">'Workflows'!$A$1:$O$21</definedName>
    <definedName name="_xlnm._FilterDatabase" localSheetId="4" hidden="1">'Pasos'!$A$1:$I$151</definedName>
  </definedNames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#,##0.00000"/>
    <numFmt numFmtId="165" formatCode="#,##0.000"/>
    <numFmt numFmtId="166" formatCode="&quot;$&quot;#,##0.00"/>
    <numFmt numFmtId="167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color rgb="001D2939"/>
      <sz val="10"/>
    </font>
    <font>
      <name val="Calibri"/>
      <b val="1"/>
      <color rgb="001B4F72"/>
      <sz val="12"/>
    </font>
    <font>
      <name val="Calibri"/>
      <b val="1"/>
      <sz val="11"/>
    </font>
    <font>
      <name val="Calibri"/>
      <color rgb="00155EEF"/>
      <sz val="10"/>
      <u val="single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54360"/>
      </patternFill>
    </fill>
    <fill>
      <patternFill patternType="solid">
        <fgColor rgb="00F8FAFC"/>
      </patternFill>
    </fill>
    <fill>
      <patternFill patternType="solid">
        <fgColor rgb="00FFF3C4"/>
      </patternFill>
    </fill>
    <fill>
      <patternFill patternType="solid">
        <fgColor rgb="00E8F6F3"/>
      </patternFill>
    </fill>
    <fill>
      <patternFill patternType="solid">
        <fgColor rgb="00AAF0C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4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1" fontId="3" fillId="6" borderId="1" applyAlignment="1" pivotButton="0" quotePrefix="0" xfId="0">
      <alignment vertical="center" wrapText="1"/>
    </xf>
    <xf numFmtId="3" fontId="3" fillId="6" borderId="1" applyAlignment="1" pivotButton="0" quotePrefix="0" xfId="0">
      <alignment vertical="center" wrapText="1"/>
    </xf>
    <xf numFmtId="4" fontId="3" fillId="6" borderId="1" applyAlignment="1" pivotButton="0" quotePrefix="0" xfId="0">
      <alignment vertical="center" wrapText="1"/>
    </xf>
    <xf numFmtId="166" fontId="3" fillId="6" borderId="1" applyAlignment="1" pivotButton="0" quotePrefix="0" xfId="0">
      <alignment vertical="center" wrapText="1"/>
    </xf>
    <xf numFmtId="165" fontId="3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165" fontId="5" fillId="7" borderId="1" applyAlignment="1" pivotButton="0" quotePrefix="0" xfId="0">
      <alignment vertical="center" wrapText="1"/>
    </xf>
    <xf numFmtId="166" fontId="5" fillId="7" borderId="1" applyAlignment="1" pivotButton="0" quotePrefix="0" xfId="0">
      <alignment vertical="center" wrapText="1"/>
    </xf>
    <xf numFmtId="1" fontId="3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3" fontId="3" fillId="5" borderId="1" applyAlignment="1" pivotButton="0" quotePrefix="0" xfId="0">
      <alignment vertical="center" wrapText="1"/>
    </xf>
    <xf numFmtId="2" fontId="3" fillId="5" borderId="1" applyAlignment="1" pivotButton="0" quotePrefix="0" xfId="0">
      <alignment vertical="center" wrapText="1"/>
    </xf>
    <xf numFmtId="1" fontId="3" fillId="5" borderId="1" applyAlignment="1" pivotButton="0" quotePrefix="0" xfId="0">
      <alignment vertical="center" wrapText="1"/>
    </xf>
    <xf numFmtId="2" fontId="3" fillId="6" borderId="1" applyAlignment="1" pivotButton="0" quotePrefix="0" xfId="0">
      <alignment vertical="center" wrapText="1"/>
    </xf>
    <xf numFmtId="167" fontId="3" fillId="6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docs.temporal.io/cloud/actions" TargetMode="External" Id="rId1" /><Relationship Type="http://schemas.openxmlformats.org/officeDocument/2006/relationships/hyperlink" Target="https://docs.temporal.io/cloud/pricing" TargetMode="External" Id="rId2" /></Relationships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78" customWidth="1" min="3" max="3"/>
  </cols>
  <sheetData>
    <row r="1" ht="28" customHeight="1">
      <c r="A1" s="1" t="inlineStr">
        <is>
          <t>Temporal Cloud — tarifas commitment 3 años (celdas amarillas = input)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Nota</t>
        </is>
      </c>
    </row>
    <row r="4">
      <c r="A4" s="3" t="inlineStr">
        <is>
          <t>Actions ($ / millón)</t>
        </is>
      </c>
      <c r="B4" s="4" t="n">
        <v>23.16</v>
      </c>
      <c r="C4" s="3" t="inlineStr">
        <is>
          <t>Contrato. List público empieza en $50/millón.</t>
        </is>
      </c>
    </row>
    <row r="5">
      <c r="A5" s="3" t="inlineStr">
        <is>
          <t>Active Storage ($ / GB-h)</t>
        </is>
      </c>
      <c r="B5" s="4" t="n">
        <v>0.039</v>
      </c>
      <c r="C5" s="3" t="inlineStr">
        <is>
          <t>Contrato. List público $0.042/GBh.</t>
        </is>
      </c>
    </row>
    <row r="6">
      <c r="A6" s="3" t="inlineStr">
        <is>
          <t>Retained Storage ($ / GB-h)</t>
        </is>
      </c>
      <c r="B6" s="4" t="n">
        <v>0.00105</v>
      </c>
      <c r="C6" s="3" t="inlineStr">
        <is>
          <t>Igual al list público.</t>
        </is>
      </c>
    </row>
    <row r="7">
      <c r="A7" s="3" t="inlineStr">
        <is>
          <t>Horas / mes (referencia GB)</t>
        </is>
      </c>
      <c r="B7" s="4" t="n">
        <v>730</v>
      </c>
      <c r="C7" s="3" t="inlineStr">
        <is>
          <t>Temporal usa 744 h para GB incluidos del plan. No entra en Actions.</t>
        </is>
      </c>
    </row>
    <row r="9">
      <c r="A9" s="5" t="inlineStr">
        <is>
          <t>Cómo leer</t>
        </is>
      </c>
    </row>
    <row r="10" ht="20" customHeight="1">
      <c r="A10" s="6" t="inlineStr">
        <is>
          <t>1. Hoja Workflows: un type por fila (nombre, ejecuciones/mes, origen, duración open, KB de history, retention).</t>
        </is>
      </c>
    </row>
    <row r="11" ht="20" customHeight="1">
      <c r="A11" s="6" t="inlineStr">
        <is>
          <t>2. Hoja Pasos: detail de cada type. Veces × (% camino/100) × unidad oficial. Activity suma retries y heartbeats.</t>
        </is>
      </c>
    </row>
    <row r="12" ht="20" customHeight="1">
      <c r="A12" s="6" t="inlineStr">
        <is>
          <t>3. Hoja Resumen: totales del mes. Amarillo = input. Verde = fórmula. No editar verde.</t>
        </is>
      </c>
    </row>
    <row r="13" ht="20" customHeight="1">
      <c r="A13" s="6" t="inlineStr">
        <is>
          <t>4. Origen Cliente = 1 start_workflow. Signal-With-Start = 1. Schedule = 3 (incluye el start). Ninguno = 0.</t>
        </is>
      </c>
    </row>
    <row r="14" ht="20" customHeight="1">
      <c r="A14" s="6" t="inlineStr">
        <is>
          <t>5. Child (hijo NO listado) = 2 Actions. Si el hijo es otra fila en Workflows, no uses ese tipo en el padre.</t>
        </is>
      </c>
    </row>
    <row r="15" ht="20" customHeight="1">
      <c r="A15" s="6" t="inlineStr">
        <is>
          <t>6. Storage: 1 GB = 1.000.000 KB. Activo = exec × (KB/1e6) × horas open. Retenido = exec × GB × días × 24. Nombres de workflow unicos (SUMIF).</t>
        </is>
      </c>
    </row>
    <row r="16" ht="20" customHeight="1">
      <c r="A16" s="6" t="inlineStr">
        <is>
          <t>7. Replay no factura. Heartbeat solo si llega al server (SDK ~80% del Heartbeat Timeout).</t>
        </is>
      </c>
    </row>
    <row r="17" ht="20" customHeight="1">
      <c r="A17" s="6" t="inlineStr">
        <is>
          <t>8. Fuentes: https://docs.temporal.io/cloud/actions  y  https://docs.temporal.io/cloud/pricing</t>
        </is>
      </c>
    </row>
  </sheetData>
  <mergeCells count="9">
    <mergeCell ref="A10:C10"/>
    <mergeCell ref="A13:C13"/>
    <mergeCell ref="A11:C11"/>
    <mergeCell ref="A1:C1"/>
    <mergeCell ref="A14:C14"/>
    <mergeCell ref="A17:C17"/>
    <mergeCell ref="A12:C12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42318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Resumen mensual — Temporal Cloud (commitment 3 años)</t>
        </is>
      </c>
    </row>
    <row r="3">
      <c r="A3" s="2" t="inlineStr">
        <is>
          <t>Indicador</t>
        </is>
      </c>
      <c r="B3" s="2" t="inlineStr">
        <is>
          <t>Cantidad</t>
        </is>
      </c>
      <c r="C3" s="2" t="inlineStr">
        <is>
          <t>USD / mes</t>
        </is>
      </c>
    </row>
    <row r="4">
      <c r="A4" s="3" t="inlineStr">
        <is>
          <t>Tipos de workflow con nombre</t>
        </is>
      </c>
      <c r="B4" s="7">
        <f>COUNTA(Workflows!A2:A21)</f>
        <v/>
      </c>
      <c r="C4" s="3" t="inlineStr">
        <is>
          <t>-</t>
        </is>
      </c>
    </row>
    <row r="5">
      <c r="A5" s="3" t="inlineStr">
        <is>
          <t>Ejecuciones / mes</t>
        </is>
      </c>
      <c r="B5" s="8">
        <f>SUMIF(Workflows!A2:A21,"&lt;&gt;",Workflows!B2:B21)</f>
        <v/>
      </c>
      <c r="C5" s="3" t="inlineStr">
        <is>
          <t>-</t>
        </is>
      </c>
    </row>
    <row r="6">
      <c r="A6" s="3" t="inlineStr">
        <is>
          <t>Actions / mes</t>
        </is>
      </c>
      <c r="B6" s="9">
        <f>SUMIF(Workflows!A2:A21,"&lt;&gt;",Workflows!I2:I21)</f>
        <v/>
      </c>
      <c r="C6" s="10">
        <f>B6/1000000*RATE_ACTIONS</f>
        <v/>
      </c>
    </row>
    <row r="7">
      <c r="A7" s="3" t="inlineStr">
        <is>
          <t>Actions (millones)</t>
        </is>
      </c>
      <c r="B7" s="11">
        <f>B6/1000000</f>
        <v/>
      </c>
      <c r="C7" s="3" t="inlineStr">
        <is>
          <t>-</t>
        </is>
      </c>
    </row>
    <row r="8">
      <c r="A8" s="3" t="inlineStr">
        <is>
          <t>Actions / ejecución (media)</t>
        </is>
      </c>
      <c r="B8" s="11">
        <f>IF(B5=0,0,B6/B5)</f>
        <v/>
      </c>
      <c r="C8" s="3" t="inlineStr">
        <is>
          <t>-</t>
        </is>
      </c>
    </row>
    <row r="9">
      <c r="A9" s="3" t="inlineStr">
        <is>
          <t>Active Storage (GBh)</t>
        </is>
      </c>
      <c r="B9" s="11">
        <f>SUMIF(Workflows!A2:A21,"&lt;&gt;",Workflows!J2:J21)</f>
        <v/>
      </c>
      <c r="C9" s="10">
        <f>B9*RATE_ACTIVE</f>
        <v/>
      </c>
    </row>
    <row r="10">
      <c r="A10" s="3" t="inlineStr">
        <is>
          <t>Retained Storage (GBh)</t>
        </is>
      </c>
      <c r="B10" s="11">
        <f>SUMIF(Workflows!A2:A21,"&lt;&gt;",Workflows!K2:K21)</f>
        <v/>
      </c>
      <c r="C10" s="10">
        <f>B10*RATE_RETAINED</f>
        <v/>
      </c>
    </row>
    <row r="11">
      <c r="A11" s="3" t="inlineStr">
        <is>
          <t>GB activo equivalente (GBh / horas mes)</t>
        </is>
      </c>
      <c r="B11" s="11">
        <f>IF(HORAS_MES=0,0,B9/HORAS_MES)</f>
        <v/>
      </c>
      <c r="C11" s="3" t="inlineStr">
        <is>
          <t>-</t>
        </is>
      </c>
    </row>
    <row r="12">
      <c r="A12" s="12" t="inlineStr">
        <is>
          <t>TOTAL USD / mes</t>
        </is>
      </c>
      <c r="B12" s="13" t="inlineStr">
        <is>
          <t>-</t>
        </is>
      </c>
      <c r="C12" s="14">
        <f>N(C6)+N(C9)+N(C10)</f>
        <v/>
      </c>
    </row>
    <row r="13">
      <c r="A13" s="3" t="inlineStr">
        <is>
          <t>Nombres duplicados en Workflows (0 = OK)</t>
        </is>
      </c>
      <c r="B13" s="7">
        <f>SUMPRODUCT((Workflows!A2:A21&lt;&gt;"")*(COUNTIF(Workflows!A2:A21,Workflows!A2:A21)&gt;1))</f>
        <v/>
      </c>
      <c r="C13" s="3" t="inlineStr">
        <is>
          <t>-</t>
        </is>
      </c>
    </row>
    <row r="14">
      <c r="A14" s="5" t="inlineStr">
        <is>
          <t>Costo por workflow type: columnas L-O de la hoja Workflows.</t>
        </is>
      </c>
    </row>
    <row r="16" ht="40" customHeight="1">
      <c r="A16" s="6" t="inlineStr">
        <is>
          <t>Estimado de regimen, no la factura. Temporal documenta hasta 5% de diferencia entre metricas OpenMetrics y metering. No incluye Support, Export, Fairness ni TRU ociosos. Abrir en Excel para Windows o Microsoft 365: Habilitar edicion si aparece Vista protegida.</t>
        </is>
      </c>
    </row>
  </sheetData>
  <mergeCells count="3">
    <mergeCell ref="A1:D1"/>
    <mergeCell ref="A16:D16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941C6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</cols>
  <sheetData>
    <row r="1">
      <c r="A1" s="2" t="inlineStr">
        <is>
          <t>Origen</t>
        </is>
      </c>
      <c r="B1" s="2" t="inlineStr">
        <is>
          <t>Tipo de paso</t>
        </is>
      </c>
      <c r="C1" s="2" t="inlineStr">
        <is>
          <t>Actions unitarias</t>
        </is>
      </c>
    </row>
    <row r="2">
      <c r="A2" s="3" t="inlineStr">
        <is>
          <t>Cliente</t>
        </is>
      </c>
      <c r="B2" s="3" t="inlineStr">
        <is>
          <t>Activity</t>
        </is>
      </c>
      <c r="C2" s="15" t="n">
        <v>1</v>
      </c>
    </row>
    <row r="3">
      <c r="A3" s="3" t="inlineStr">
        <is>
          <t>Signal-With-Start</t>
        </is>
      </c>
      <c r="B3" s="3" t="inlineStr">
        <is>
          <t>Local Activities (1 por WFT)</t>
        </is>
      </c>
      <c r="C3" s="15" t="n">
        <v>1</v>
      </c>
    </row>
    <row r="4">
      <c r="A4" s="3" t="inlineStr">
        <is>
          <t>Schedule</t>
        </is>
      </c>
      <c r="B4" s="3" t="inlineStr">
        <is>
          <t>Timer / timeout SDK</t>
        </is>
      </c>
      <c r="C4" s="15" t="n">
        <v>1</v>
      </c>
    </row>
    <row r="5">
      <c r="A5" s="3" t="inlineStr">
        <is>
          <t>Ninguno</t>
        </is>
      </c>
      <c r="B5" s="3" t="inlineStr">
        <is>
          <t>Signal</t>
        </is>
      </c>
      <c r="C5" s="15" t="n">
        <v>1</v>
      </c>
    </row>
    <row r="6">
      <c r="B6" s="3" t="inlineStr">
        <is>
          <t>Signal externo</t>
        </is>
      </c>
      <c r="C6" s="15" t="n">
        <v>1</v>
      </c>
    </row>
    <row r="7">
      <c r="B7" s="3" t="inlineStr">
        <is>
          <t>Query</t>
        </is>
      </c>
      <c r="C7" s="15" t="n">
        <v>1</v>
      </c>
    </row>
    <row r="8">
      <c r="B8" s="3" t="inlineStr">
        <is>
          <t>Update</t>
        </is>
      </c>
      <c r="C8" s="15" t="n">
        <v>1</v>
      </c>
    </row>
    <row r="9">
      <c r="B9" s="3" t="inlineStr">
        <is>
          <t>Child (hijo NO listado)</t>
        </is>
      </c>
      <c r="C9" s="15" t="n">
        <v>2</v>
      </c>
    </row>
    <row r="10">
      <c r="B10" s="3" t="inlineStr">
        <is>
          <t>Continue-As-New</t>
        </is>
      </c>
      <c r="C10" s="15" t="n">
        <v>1</v>
      </c>
    </row>
    <row r="11">
      <c r="B11" s="3" t="inlineStr">
        <is>
          <t>Upsert Search Attributes</t>
        </is>
      </c>
      <c r="C11" s="15" t="n">
        <v>1</v>
      </c>
    </row>
    <row r="12">
      <c r="B12" s="3" t="inlineStr">
        <is>
          <t>Nexus Operation (caller)</t>
        </is>
      </c>
      <c r="C12" s="15" t="n">
        <v>1</v>
      </c>
    </row>
    <row r="13">
      <c r="B13" s="3" t="inlineStr">
        <is>
          <t>WFT Heartbeat (LA largas)</t>
        </is>
      </c>
      <c r="C13" s="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27A48"/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16" customWidth="1" min="5" max="5"/>
    <col width="20" customWidth="1" min="6" max="6"/>
    <col width="16" customWidth="1" min="7" max="7"/>
    <col width="18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16" t="inlineStr">
        <is>
          <t>Nombre (type)</t>
        </is>
      </c>
      <c r="B1" s="16" t="inlineStr">
        <is>
          <t>Ejecuciones / mes</t>
        </is>
      </c>
      <c r="C1" s="16" t="inlineStr">
        <is>
          <t>Origen</t>
        </is>
      </c>
      <c r="D1" s="16" t="inlineStr">
        <is>
          <t>Actions origen</t>
        </is>
      </c>
      <c r="E1" s="16" t="inlineStr">
        <is>
          <t>Duración open (h)</t>
        </is>
      </c>
      <c r="F1" s="16" t="inlineStr">
        <is>
          <t>History promedio (KB)</t>
        </is>
      </c>
      <c r="G1" s="16" t="inlineStr">
        <is>
          <t>Retention (días)</t>
        </is>
      </c>
      <c r="H1" s="16" t="inlineStr">
        <is>
          <t>Actions/exec (pasos)</t>
        </is>
      </c>
      <c r="I1" s="16" t="inlineStr">
        <is>
          <t>Actions / mes</t>
        </is>
      </c>
      <c r="J1" s="16" t="inlineStr">
        <is>
          <t>Active GBh</t>
        </is>
      </c>
      <c r="K1" s="16" t="inlineStr">
        <is>
          <t>Retained GBh</t>
        </is>
      </c>
      <c r="L1" s="16" t="inlineStr">
        <is>
          <t>USD Actions</t>
        </is>
      </c>
      <c r="M1" s="16" t="inlineStr">
        <is>
          <t>USD Active</t>
        </is>
      </c>
      <c r="N1" s="16" t="inlineStr">
        <is>
          <t>USD Retained</t>
        </is>
      </c>
      <c r="O1" s="16" t="inlineStr">
        <is>
          <t>USD total</t>
        </is>
      </c>
    </row>
    <row r="2" ht="20" customHeight="1">
      <c r="A2" s="17" t="inlineStr">
        <is>
          <t>Pago interbancario</t>
        </is>
      </c>
      <c r="B2" s="18" t="n">
        <v>50000</v>
      </c>
      <c r="C2" s="17" t="inlineStr">
        <is>
          <t>Cliente</t>
        </is>
      </c>
      <c r="D2" s="7">
        <f>IF(A2="","",IF(C2="Signal-With-Start",1,IF(C2="Schedule",3,IF(C2="Ninguno",0,1))))</f>
        <v/>
      </c>
      <c r="E2" s="19" t="n">
        <v>0.4</v>
      </c>
      <c r="F2" s="18" t="n">
        <v>80</v>
      </c>
      <c r="G2" s="20" t="n">
        <v>30</v>
      </c>
      <c r="H2" s="21">
        <f>IF(A2="","",SUMIF(Pasos!$A$2:$A$151,A2,Pasos!$I$2:$I$151))</f>
        <v/>
      </c>
      <c r="I2" s="9">
        <f>IF(A2="","",MAX(0,N(B2))*(D2+H2))</f>
        <v/>
      </c>
      <c r="J2" s="11">
        <f>IF(A2="","",MAX(0,N(B2))*(MAX(0,N(F2))/1000000)*MAX(0,N(E2)))</f>
        <v/>
      </c>
      <c r="K2" s="11">
        <f>IF(A2="","",MAX(0,N(B2))*(MAX(0,N(F2))/1000000)*MAX(0,N(G2))*24)</f>
        <v/>
      </c>
      <c r="L2" s="10">
        <f>IF(A2="","",I2/1000000*RATE_ACTIONS)</f>
        <v/>
      </c>
      <c r="M2" s="10">
        <f>IF(A2="","",J2*RATE_ACTIVE)</f>
        <v/>
      </c>
      <c r="N2" s="10">
        <f>IF(A2="","",K2*RATE_RETAINED)</f>
        <v/>
      </c>
      <c r="O2" s="10">
        <f>IF(A2="","",L2+M2+N2)</f>
        <v/>
      </c>
    </row>
    <row r="3" ht="20" customHeight="1">
      <c r="A3" s="17" t="inlineStr">
        <is>
          <t>Alta de cliente</t>
        </is>
      </c>
      <c r="B3" s="18" t="n">
        <v>8000</v>
      </c>
      <c r="C3" s="17" t="inlineStr">
        <is>
          <t>Schedule</t>
        </is>
      </c>
      <c r="D3" s="7">
        <f>IF(A3="","",IF(C3="Signal-With-Start",1,IF(C3="Schedule",3,IF(C3="Ninguno",0,1))))</f>
        <v/>
      </c>
      <c r="E3" s="19" t="n">
        <v>2.5</v>
      </c>
      <c r="F3" s="18" t="n">
        <v>120</v>
      </c>
      <c r="G3" s="20" t="n">
        <v>30</v>
      </c>
      <c r="H3" s="21">
        <f>IF(A3="","",SUMIF(Pasos!$A$2:$A$151,A3,Pasos!$I$2:$I$151))</f>
        <v/>
      </c>
      <c r="I3" s="9">
        <f>IF(A3="","",MAX(0,N(B3))*(D3+H3))</f>
        <v/>
      </c>
      <c r="J3" s="11">
        <f>IF(A3="","",MAX(0,N(B3))*(MAX(0,N(F3))/1000000)*MAX(0,N(E3)))</f>
        <v/>
      </c>
      <c r="K3" s="11">
        <f>IF(A3="","",MAX(0,N(B3))*(MAX(0,N(F3))/1000000)*MAX(0,N(G3))*24)</f>
        <v/>
      </c>
      <c r="L3" s="10">
        <f>IF(A3="","",I3/1000000*RATE_ACTIONS)</f>
        <v/>
      </c>
      <c r="M3" s="10">
        <f>IF(A3="","",J3*RATE_ACTIVE)</f>
        <v/>
      </c>
      <c r="N3" s="10">
        <f>IF(A3="","",K3*RATE_RETAINED)</f>
        <v/>
      </c>
      <c r="O3" s="10">
        <f>IF(A3="","",L3+M3+N3)</f>
        <v/>
      </c>
    </row>
    <row r="4" ht="20" customHeight="1">
      <c r="A4" s="17" t="inlineStr"/>
      <c r="B4" s="18" t="n"/>
      <c r="C4" s="17" t="inlineStr"/>
      <c r="D4" s="7">
        <f>IF(A4="","",IF(C4="Signal-With-Start",1,IF(C4="Schedule",3,IF(C4="Ninguno",0,1))))</f>
        <v/>
      </c>
      <c r="E4" s="19" t="n"/>
      <c r="F4" s="18" t="n"/>
      <c r="G4" s="20" t="n"/>
      <c r="H4" s="21">
        <f>IF(A4="","",SUMIF(Pasos!$A$2:$A$151,A4,Pasos!$I$2:$I$151))</f>
        <v/>
      </c>
      <c r="I4" s="9">
        <f>IF(A4="","",MAX(0,N(B4))*(D4+H4))</f>
        <v/>
      </c>
      <c r="J4" s="11">
        <f>IF(A4="","",MAX(0,N(B4))*(MAX(0,N(F4))/1000000)*MAX(0,N(E4)))</f>
        <v/>
      </c>
      <c r="K4" s="11">
        <f>IF(A4="","",MAX(0,N(B4))*(MAX(0,N(F4))/1000000)*MAX(0,N(G4))*24)</f>
        <v/>
      </c>
      <c r="L4" s="10">
        <f>IF(A4="","",I4/1000000*RATE_ACTIONS)</f>
        <v/>
      </c>
      <c r="M4" s="10">
        <f>IF(A4="","",J4*RATE_ACTIVE)</f>
        <v/>
      </c>
      <c r="N4" s="10">
        <f>IF(A4="","",K4*RATE_RETAINED)</f>
        <v/>
      </c>
      <c r="O4" s="10">
        <f>IF(A4="","",L4+M4+N4)</f>
        <v/>
      </c>
    </row>
    <row r="5" ht="20" customHeight="1">
      <c r="A5" s="17" t="inlineStr"/>
      <c r="B5" s="18" t="n"/>
      <c r="C5" s="17" t="inlineStr"/>
      <c r="D5" s="7">
        <f>IF(A5="","",IF(C5="Signal-With-Start",1,IF(C5="Schedule",3,IF(C5="Ninguno",0,1))))</f>
        <v/>
      </c>
      <c r="E5" s="19" t="n"/>
      <c r="F5" s="18" t="n"/>
      <c r="G5" s="20" t="n"/>
      <c r="H5" s="21">
        <f>IF(A5="","",SUMIF(Pasos!$A$2:$A$151,A5,Pasos!$I$2:$I$151))</f>
        <v/>
      </c>
      <c r="I5" s="9">
        <f>IF(A5="","",MAX(0,N(B5))*(D5+H5))</f>
        <v/>
      </c>
      <c r="J5" s="11">
        <f>IF(A5="","",MAX(0,N(B5))*(MAX(0,N(F5))/1000000)*MAX(0,N(E5)))</f>
        <v/>
      </c>
      <c r="K5" s="11">
        <f>IF(A5="","",MAX(0,N(B5))*(MAX(0,N(F5))/1000000)*MAX(0,N(G5))*24)</f>
        <v/>
      </c>
      <c r="L5" s="10">
        <f>IF(A5="","",I5/1000000*RATE_ACTIONS)</f>
        <v/>
      </c>
      <c r="M5" s="10">
        <f>IF(A5="","",J5*RATE_ACTIVE)</f>
        <v/>
      </c>
      <c r="N5" s="10">
        <f>IF(A5="","",K5*RATE_RETAINED)</f>
        <v/>
      </c>
      <c r="O5" s="10">
        <f>IF(A5="","",L5+M5+N5)</f>
        <v/>
      </c>
    </row>
    <row r="6" ht="20" customHeight="1">
      <c r="A6" s="17" t="inlineStr"/>
      <c r="B6" s="18" t="n"/>
      <c r="C6" s="17" t="inlineStr"/>
      <c r="D6" s="7">
        <f>IF(A6="","",IF(C6="Signal-With-Start",1,IF(C6="Schedule",3,IF(C6="Ninguno",0,1))))</f>
        <v/>
      </c>
      <c r="E6" s="19" t="n"/>
      <c r="F6" s="18" t="n"/>
      <c r="G6" s="20" t="n"/>
      <c r="H6" s="21">
        <f>IF(A6="","",SUMIF(Pasos!$A$2:$A$151,A6,Pasos!$I$2:$I$151))</f>
        <v/>
      </c>
      <c r="I6" s="9">
        <f>IF(A6="","",MAX(0,N(B6))*(D6+H6))</f>
        <v/>
      </c>
      <c r="J6" s="11">
        <f>IF(A6="","",MAX(0,N(B6))*(MAX(0,N(F6))/1000000)*MAX(0,N(E6)))</f>
        <v/>
      </c>
      <c r="K6" s="11">
        <f>IF(A6="","",MAX(0,N(B6))*(MAX(0,N(F6))/1000000)*MAX(0,N(G6))*24)</f>
        <v/>
      </c>
      <c r="L6" s="10">
        <f>IF(A6="","",I6/1000000*RATE_ACTIONS)</f>
        <v/>
      </c>
      <c r="M6" s="10">
        <f>IF(A6="","",J6*RATE_ACTIVE)</f>
        <v/>
      </c>
      <c r="N6" s="10">
        <f>IF(A6="","",K6*RATE_RETAINED)</f>
        <v/>
      </c>
      <c r="O6" s="10">
        <f>IF(A6="","",L6+M6+N6)</f>
        <v/>
      </c>
    </row>
    <row r="7" ht="20" customHeight="1">
      <c r="A7" s="17" t="inlineStr"/>
      <c r="B7" s="18" t="n"/>
      <c r="C7" s="17" t="inlineStr"/>
      <c r="D7" s="7">
        <f>IF(A7="","",IF(C7="Signal-With-Start",1,IF(C7="Schedule",3,IF(C7="Ninguno",0,1))))</f>
        <v/>
      </c>
      <c r="E7" s="19" t="n"/>
      <c r="F7" s="18" t="n"/>
      <c r="G7" s="20" t="n"/>
      <c r="H7" s="21">
        <f>IF(A7="","",SUMIF(Pasos!$A$2:$A$151,A7,Pasos!$I$2:$I$151))</f>
        <v/>
      </c>
      <c r="I7" s="9">
        <f>IF(A7="","",MAX(0,N(B7))*(D7+H7))</f>
        <v/>
      </c>
      <c r="J7" s="11">
        <f>IF(A7="","",MAX(0,N(B7))*(MAX(0,N(F7))/1000000)*MAX(0,N(E7)))</f>
        <v/>
      </c>
      <c r="K7" s="11">
        <f>IF(A7="","",MAX(0,N(B7))*(MAX(0,N(F7))/1000000)*MAX(0,N(G7))*24)</f>
        <v/>
      </c>
      <c r="L7" s="10">
        <f>IF(A7="","",I7/1000000*RATE_ACTIONS)</f>
        <v/>
      </c>
      <c r="M7" s="10">
        <f>IF(A7="","",J7*RATE_ACTIVE)</f>
        <v/>
      </c>
      <c r="N7" s="10">
        <f>IF(A7="","",K7*RATE_RETAINED)</f>
        <v/>
      </c>
      <c r="O7" s="10">
        <f>IF(A7="","",L7+M7+N7)</f>
        <v/>
      </c>
    </row>
    <row r="8" ht="20" customHeight="1">
      <c r="A8" s="17" t="inlineStr"/>
      <c r="B8" s="18" t="n"/>
      <c r="C8" s="17" t="inlineStr"/>
      <c r="D8" s="7">
        <f>IF(A8="","",IF(C8="Signal-With-Start",1,IF(C8="Schedule",3,IF(C8="Ninguno",0,1))))</f>
        <v/>
      </c>
      <c r="E8" s="19" t="n"/>
      <c r="F8" s="18" t="n"/>
      <c r="G8" s="20" t="n"/>
      <c r="H8" s="21">
        <f>IF(A8="","",SUMIF(Pasos!$A$2:$A$151,A8,Pasos!$I$2:$I$151))</f>
        <v/>
      </c>
      <c r="I8" s="9">
        <f>IF(A8="","",MAX(0,N(B8))*(D8+H8))</f>
        <v/>
      </c>
      <c r="J8" s="11">
        <f>IF(A8="","",MAX(0,N(B8))*(MAX(0,N(F8))/1000000)*MAX(0,N(E8)))</f>
        <v/>
      </c>
      <c r="K8" s="11">
        <f>IF(A8="","",MAX(0,N(B8))*(MAX(0,N(F8))/1000000)*MAX(0,N(G8))*24)</f>
        <v/>
      </c>
      <c r="L8" s="10">
        <f>IF(A8="","",I8/1000000*RATE_ACTIONS)</f>
        <v/>
      </c>
      <c r="M8" s="10">
        <f>IF(A8="","",J8*RATE_ACTIVE)</f>
        <v/>
      </c>
      <c r="N8" s="10">
        <f>IF(A8="","",K8*RATE_RETAINED)</f>
        <v/>
      </c>
      <c r="O8" s="10">
        <f>IF(A8="","",L8+M8+N8)</f>
        <v/>
      </c>
    </row>
    <row r="9" ht="20" customHeight="1">
      <c r="A9" s="17" t="inlineStr"/>
      <c r="B9" s="18" t="n"/>
      <c r="C9" s="17" t="inlineStr"/>
      <c r="D9" s="7">
        <f>IF(A9="","",IF(C9="Signal-With-Start",1,IF(C9="Schedule",3,IF(C9="Ninguno",0,1))))</f>
        <v/>
      </c>
      <c r="E9" s="19" t="n"/>
      <c r="F9" s="18" t="n"/>
      <c r="G9" s="20" t="n"/>
      <c r="H9" s="21">
        <f>IF(A9="","",SUMIF(Pasos!$A$2:$A$151,A9,Pasos!$I$2:$I$151))</f>
        <v/>
      </c>
      <c r="I9" s="9">
        <f>IF(A9="","",MAX(0,N(B9))*(D9+H9))</f>
        <v/>
      </c>
      <c r="J9" s="11">
        <f>IF(A9="","",MAX(0,N(B9))*(MAX(0,N(F9))/1000000)*MAX(0,N(E9)))</f>
        <v/>
      </c>
      <c r="K9" s="11">
        <f>IF(A9="","",MAX(0,N(B9))*(MAX(0,N(F9))/1000000)*MAX(0,N(G9))*24)</f>
        <v/>
      </c>
      <c r="L9" s="10">
        <f>IF(A9="","",I9/1000000*RATE_ACTIONS)</f>
        <v/>
      </c>
      <c r="M9" s="10">
        <f>IF(A9="","",J9*RATE_ACTIVE)</f>
        <v/>
      </c>
      <c r="N9" s="10">
        <f>IF(A9="","",K9*RATE_RETAINED)</f>
        <v/>
      </c>
      <c r="O9" s="10">
        <f>IF(A9="","",L9+M9+N9)</f>
        <v/>
      </c>
    </row>
    <row r="10" ht="20" customHeight="1">
      <c r="A10" s="17" t="inlineStr"/>
      <c r="B10" s="18" t="n"/>
      <c r="C10" s="17" t="inlineStr"/>
      <c r="D10" s="7">
        <f>IF(A10="","",IF(C10="Signal-With-Start",1,IF(C10="Schedule",3,IF(C10="Ninguno",0,1))))</f>
        <v/>
      </c>
      <c r="E10" s="19" t="n"/>
      <c r="F10" s="18" t="n"/>
      <c r="G10" s="20" t="n"/>
      <c r="H10" s="21">
        <f>IF(A10="","",SUMIF(Pasos!$A$2:$A$151,A10,Pasos!$I$2:$I$151))</f>
        <v/>
      </c>
      <c r="I10" s="9">
        <f>IF(A10="","",MAX(0,N(B10))*(D10+H10))</f>
        <v/>
      </c>
      <c r="J10" s="11">
        <f>IF(A10="","",MAX(0,N(B10))*(MAX(0,N(F10))/1000000)*MAX(0,N(E10)))</f>
        <v/>
      </c>
      <c r="K10" s="11">
        <f>IF(A10="","",MAX(0,N(B10))*(MAX(0,N(F10))/1000000)*MAX(0,N(G10))*24)</f>
        <v/>
      </c>
      <c r="L10" s="10">
        <f>IF(A10="","",I10/1000000*RATE_ACTIONS)</f>
        <v/>
      </c>
      <c r="M10" s="10">
        <f>IF(A10="","",J10*RATE_ACTIVE)</f>
        <v/>
      </c>
      <c r="N10" s="10">
        <f>IF(A10="","",K10*RATE_RETAINED)</f>
        <v/>
      </c>
      <c r="O10" s="10">
        <f>IF(A10="","",L10+M10+N10)</f>
        <v/>
      </c>
    </row>
    <row r="11" ht="20" customHeight="1">
      <c r="A11" s="17" t="inlineStr"/>
      <c r="B11" s="18" t="n"/>
      <c r="C11" s="17" t="inlineStr"/>
      <c r="D11" s="7">
        <f>IF(A11="","",IF(C11="Signal-With-Start",1,IF(C11="Schedule",3,IF(C11="Ninguno",0,1))))</f>
        <v/>
      </c>
      <c r="E11" s="19" t="n"/>
      <c r="F11" s="18" t="n"/>
      <c r="G11" s="20" t="n"/>
      <c r="H11" s="21">
        <f>IF(A11="","",SUMIF(Pasos!$A$2:$A$151,A11,Pasos!$I$2:$I$151))</f>
        <v/>
      </c>
      <c r="I11" s="9">
        <f>IF(A11="","",MAX(0,N(B11))*(D11+H11))</f>
        <v/>
      </c>
      <c r="J11" s="11">
        <f>IF(A11="","",MAX(0,N(B11))*(MAX(0,N(F11))/1000000)*MAX(0,N(E11)))</f>
        <v/>
      </c>
      <c r="K11" s="11">
        <f>IF(A11="","",MAX(0,N(B11))*(MAX(0,N(F11))/1000000)*MAX(0,N(G11))*24)</f>
        <v/>
      </c>
      <c r="L11" s="10">
        <f>IF(A11="","",I11/1000000*RATE_ACTIONS)</f>
        <v/>
      </c>
      <c r="M11" s="10">
        <f>IF(A11="","",J11*RATE_ACTIVE)</f>
        <v/>
      </c>
      <c r="N11" s="10">
        <f>IF(A11="","",K11*RATE_RETAINED)</f>
        <v/>
      </c>
      <c r="O11" s="10">
        <f>IF(A11="","",L11+M11+N11)</f>
        <v/>
      </c>
    </row>
    <row r="12" ht="20" customHeight="1">
      <c r="A12" s="17" t="inlineStr"/>
      <c r="B12" s="18" t="n"/>
      <c r="C12" s="17" t="inlineStr"/>
      <c r="D12" s="7">
        <f>IF(A12="","",IF(C12="Signal-With-Start",1,IF(C12="Schedule",3,IF(C12="Ninguno",0,1))))</f>
        <v/>
      </c>
      <c r="E12" s="19" t="n"/>
      <c r="F12" s="18" t="n"/>
      <c r="G12" s="20" t="n"/>
      <c r="H12" s="21">
        <f>IF(A12="","",SUMIF(Pasos!$A$2:$A$151,A12,Pasos!$I$2:$I$151))</f>
        <v/>
      </c>
      <c r="I12" s="9">
        <f>IF(A12="","",MAX(0,N(B12))*(D12+H12))</f>
        <v/>
      </c>
      <c r="J12" s="11">
        <f>IF(A12="","",MAX(0,N(B12))*(MAX(0,N(F12))/1000000)*MAX(0,N(E12)))</f>
        <v/>
      </c>
      <c r="K12" s="11">
        <f>IF(A12="","",MAX(0,N(B12))*(MAX(0,N(F12))/1000000)*MAX(0,N(G12))*24)</f>
        <v/>
      </c>
      <c r="L12" s="10">
        <f>IF(A12="","",I12/1000000*RATE_ACTIONS)</f>
        <v/>
      </c>
      <c r="M12" s="10">
        <f>IF(A12="","",J12*RATE_ACTIVE)</f>
        <v/>
      </c>
      <c r="N12" s="10">
        <f>IF(A12="","",K12*RATE_RETAINED)</f>
        <v/>
      </c>
      <c r="O12" s="10">
        <f>IF(A12="","",L12+M12+N12)</f>
        <v/>
      </c>
    </row>
    <row r="13" ht="20" customHeight="1">
      <c r="A13" s="17" t="inlineStr"/>
      <c r="B13" s="18" t="n"/>
      <c r="C13" s="17" t="inlineStr"/>
      <c r="D13" s="7">
        <f>IF(A13="","",IF(C13="Signal-With-Start",1,IF(C13="Schedule",3,IF(C13="Ninguno",0,1))))</f>
        <v/>
      </c>
      <c r="E13" s="19" t="n"/>
      <c r="F13" s="18" t="n"/>
      <c r="G13" s="20" t="n"/>
      <c r="H13" s="21">
        <f>IF(A13="","",SUMIF(Pasos!$A$2:$A$151,A13,Pasos!$I$2:$I$151))</f>
        <v/>
      </c>
      <c r="I13" s="9">
        <f>IF(A13="","",MAX(0,N(B13))*(D13+H13))</f>
        <v/>
      </c>
      <c r="J13" s="11">
        <f>IF(A13="","",MAX(0,N(B13))*(MAX(0,N(F13))/1000000)*MAX(0,N(E13)))</f>
        <v/>
      </c>
      <c r="K13" s="11">
        <f>IF(A13="","",MAX(0,N(B13))*(MAX(0,N(F13))/1000000)*MAX(0,N(G13))*24)</f>
        <v/>
      </c>
      <c r="L13" s="10">
        <f>IF(A13="","",I13/1000000*RATE_ACTIONS)</f>
        <v/>
      </c>
      <c r="M13" s="10">
        <f>IF(A13="","",J13*RATE_ACTIVE)</f>
        <v/>
      </c>
      <c r="N13" s="10">
        <f>IF(A13="","",K13*RATE_RETAINED)</f>
        <v/>
      </c>
      <c r="O13" s="10">
        <f>IF(A13="","",L13+M13+N13)</f>
        <v/>
      </c>
    </row>
    <row r="14" ht="20" customHeight="1">
      <c r="A14" s="17" t="inlineStr"/>
      <c r="B14" s="18" t="n"/>
      <c r="C14" s="17" t="inlineStr"/>
      <c r="D14" s="7">
        <f>IF(A14="","",IF(C14="Signal-With-Start",1,IF(C14="Schedule",3,IF(C14="Ninguno",0,1))))</f>
        <v/>
      </c>
      <c r="E14" s="19" t="n"/>
      <c r="F14" s="18" t="n"/>
      <c r="G14" s="20" t="n"/>
      <c r="H14" s="21">
        <f>IF(A14="","",SUMIF(Pasos!$A$2:$A$151,A14,Pasos!$I$2:$I$151))</f>
        <v/>
      </c>
      <c r="I14" s="9">
        <f>IF(A14="","",MAX(0,N(B14))*(D14+H14))</f>
        <v/>
      </c>
      <c r="J14" s="11">
        <f>IF(A14="","",MAX(0,N(B14))*(MAX(0,N(F14))/1000000)*MAX(0,N(E14)))</f>
        <v/>
      </c>
      <c r="K14" s="11">
        <f>IF(A14="","",MAX(0,N(B14))*(MAX(0,N(F14))/1000000)*MAX(0,N(G14))*24)</f>
        <v/>
      </c>
      <c r="L14" s="10">
        <f>IF(A14="","",I14/1000000*RATE_ACTIONS)</f>
        <v/>
      </c>
      <c r="M14" s="10">
        <f>IF(A14="","",J14*RATE_ACTIVE)</f>
        <v/>
      </c>
      <c r="N14" s="10">
        <f>IF(A14="","",K14*RATE_RETAINED)</f>
        <v/>
      </c>
      <c r="O14" s="10">
        <f>IF(A14="","",L14+M14+N14)</f>
        <v/>
      </c>
    </row>
    <row r="15" ht="20" customHeight="1">
      <c r="A15" s="17" t="inlineStr"/>
      <c r="B15" s="18" t="n"/>
      <c r="C15" s="17" t="inlineStr"/>
      <c r="D15" s="7">
        <f>IF(A15="","",IF(C15="Signal-With-Start",1,IF(C15="Schedule",3,IF(C15="Ninguno",0,1))))</f>
        <v/>
      </c>
      <c r="E15" s="19" t="n"/>
      <c r="F15" s="18" t="n"/>
      <c r="G15" s="20" t="n"/>
      <c r="H15" s="21">
        <f>IF(A15="","",SUMIF(Pasos!$A$2:$A$151,A15,Pasos!$I$2:$I$151))</f>
        <v/>
      </c>
      <c r="I15" s="9">
        <f>IF(A15="","",MAX(0,N(B15))*(D15+H15))</f>
        <v/>
      </c>
      <c r="J15" s="11">
        <f>IF(A15="","",MAX(0,N(B15))*(MAX(0,N(F15))/1000000)*MAX(0,N(E15)))</f>
        <v/>
      </c>
      <c r="K15" s="11">
        <f>IF(A15="","",MAX(0,N(B15))*(MAX(0,N(F15))/1000000)*MAX(0,N(G15))*24)</f>
        <v/>
      </c>
      <c r="L15" s="10">
        <f>IF(A15="","",I15/1000000*RATE_ACTIONS)</f>
        <v/>
      </c>
      <c r="M15" s="10">
        <f>IF(A15="","",J15*RATE_ACTIVE)</f>
        <v/>
      </c>
      <c r="N15" s="10">
        <f>IF(A15="","",K15*RATE_RETAINED)</f>
        <v/>
      </c>
      <c r="O15" s="10">
        <f>IF(A15="","",L15+M15+N15)</f>
        <v/>
      </c>
    </row>
    <row r="16" ht="20" customHeight="1">
      <c r="A16" s="17" t="inlineStr"/>
      <c r="B16" s="18" t="n"/>
      <c r="C16" s="17" t="inlineStr"/>
      <c r="D16" s="7">
        <f>IF(A16="","",IF(C16="Signal-With-Start",1,IF(C16="Schedule",3,IF(C16="Ninguno",0,1))))</f>
        <v/>
      </c>
      <c r="E16" s="19" t="n"/>
      <c r="F16" s="18" t="n"/>
      <c r="G16" s="20" t="n"/>
      <c r="H16" s="21">
        <f>IF(A16="","",SUMIF(Pasos!$A$2:$A$151,A16,Pasos!$I$2:$I$151))</f>
        <v/>
      </c>
      <c r="I16" s="9">
        <f>IF(A16="","",MAX(0,N(B16))*(D16+H16))</f>
        <v/>
      </c>
      <c r="J16" s="11">
        <f>IF(A16="","",MAX(0,N(B16))*(MAX(0,N(F16))/1000000)*MAX(0,N(E16)))</f>
        <v/>
      </c>
      <c r="K16" s="11">
        <f>IF(A16="","",MAX(0,N(B16))*(MAX(0,N(F16))/1000000)*MAX(0,N(G16))*24)</f>
        <v/>
      </c>
      <c r="L16" s="10">
        <f>IF(A16="","",I16/1000000*RATE_ACTIONS)</f>
        <v/>
      </c>
      <c r="M16" s="10">
        <f>IF(A16="","",J16*RATE_ACTIVE)</f>
        <v/>
      </c>
      <c r="N16" s="10">
        <f>IF(A16="","",K16*RATE_RETAINED)</f>
        <v/>
      </c>
      <c r="O16" s="10">
        <f>IF(A16="","",L16+M16+N16)</f>
        <v/>
      </c>
    </row>
    <row r="17" ht="20" customHeight="1">
      <c r="A17" s="17" t="inlineStr"/>
      <c r="B17" s="18" t="n"/>
      <c r="C17" s="17" t="inlineStr"/>
      <c r="D17" s="7">
        <f>IF(A17="","",IF(C17="Signal-With-Start",1,IF(C17="Schedule",3,IF(C17="Ninguno",0,1))))</f>
        <v/>
      </c>
      <c r="E17" s="19" t="n"/>
      <c r="F17" s="18" t="n"/>
      <c r="G17" s="20" t="n"/>
      <c r="H17" s="21">
        <f>IF(A17="","",SUMIF(Pasos!$A$2:$A$151,A17,Pasos!$I$2:$I$151))</f>
        <v/>
      </c>
      <c r="I17" s="9">
        <f>IF(A17="","",MAX(0,N(B17))*(D17+H17))</f>
        <v/>
      </c>
      <c r="J17" s="11">
        <f>IF(A17="","",MAX(0,N(B17))*(MAX(0,N(F17))/1000000)*MAX(0,N(E17)))</f>
        <v/>
      </c>
      <c r="K17" s="11">
        <f>IF(A17="","",MAX(0,N(B17))*(MAX(0,N(F17))/1000000)*MAX(0,N(G17))*24)</f>
        <v/>
      </c>
      <c r="L17" s="10">
        <f>IF(A17="","",I17/1000000*RATE_ACTIONS)</f>
        <v/>
      </c>
      <c r="M17" s="10">
        <f>IF(A17="","",J17*RATE_ACTIVE)</f>
        <v/>
      </c>
      <c r="N17" s="10">
        <f>IF(A17="","",K17*RATE_RETAINED)</f>
        <v/>
      </c>
      <c r="O17" s="10">
        <f>IF(A17="","",L17+M17+N17)</f>
        <v/>
      </c>
    </row>
    <row r="18" ht="20" customHeight="1">
      <c r="A18" s="17" t="inlineStr"/>
      <c r="B18" s="18" t="n"/>
      <c r="C18" s="17" t="inlineStr"/>
      <c r="D18" s="7">
        <f>IF(A18="","",IF(C18="Signal-With-Start",1,IF(C18="Schedule",3,IF(C18="Ninguno",0,1))))</f>
        <v/>
      </c>
      <c r="E18" s="19" t="n"/>
      <c r="F18" s="18" t="n"/>
      <c r="G18" s="20" t="n"/>
      <c r="H18" s="21">
        <f>IF(A18="","",SUMIF(Pasos!$A$2:$A$151,A18,Pasos!$I$2:$I$151))</f>
        <v/>
      </c>
      <c r="I18" s="9">
        <f>IF(A18="","",MAX(0,N(B18))*(D18+H18))</f>
        <v/>
      </c>
      <c r="J18" s="11">
        <f>IF(A18="","",MAX(0,N(B18))*(MAX(0,N(F18))/1000000)*MAX(0,N(E18)))</f>
        <v/>
      </c>
      <c r="K18" s="11">
        <f>IF(A18="","",MAX(0,N(B18))*(MAX(0,N(F18))/1000000)*MAX(0,N(G18))*24)</f>
        <v/>
      </c>
      <c r="L18" s="10">
        <f>IF(A18="","",I18/1000000*RATE_ACTIONS)</f>
        <v/>
      </c>
      <c r="M18" s="10">
        <f>IF(A18="","",J18*RATE_ACTIVE)</f>
        <v/>
      </c>
      <c r="N18" s="10">
        <f>IF(A18="","",K18*RATE_RETAINED)</f>
        <v/>
      </c>
      <c r="O18" s="10">
        <f>IF(A18="","",L18+M18+N18)</f>
        <v/>
      </c>
    </row>
    <row r="19" ht="20" customHeight="1">
      <c r="A19" s="17" t="inlineStr"/>
      <c r="B19" s="18" t="n"/>
      <c r="C19" s="17" t="inlineStr"/>
      <c r="D19" s="7">
        <f>IF(A19="","",IF(C19="Signal-With-Start",1,IF(C19="Schedule",3,IF(C19="Ninguno",0,1))))</f>
        <v/>
      </c>
      <c r="E19" s="19" t="n"/>
      <c r="F19" s="18" t="n"/>
      <c r="G19" s="20" t="n"/>
      <c r="H19" s="21">
        <f>IF(A19="","",SUMIF(Pasos!$A$2:$A$151,A19,Pasos!$I$2:$I$151))</f>
        <v/>
      </c>
      <c r="I19" s="9">
        <f>IF(A19="","",MAX(0,N(B19))*(D19+H19))</f>
        <v/>
      </c>
      <c r="J19" s="11">
        <f>IF(A19="","",MAX(0,N(B19))*(MAX(0,N(F19))/1000000)*MAX(0,N(E19)))</f>
        <v/>
      </c>
      <c r="K19" s="11">
        <f>IF(A19="","",MAX(0,N(B19))*(MAX(0,N(F19))/1000000)*MAX(0,N(G19))*24)</f>
        <v/>
      </c>
      <c r="L19" s="10">
        <f>IF(A19="","",I19/1000000*RATE_ACTIONS)</f>
        <v/>
      </c>
      <c r="M19" s="10">
        <f>IF(A19="","",J19*RATE_ACTIVE)</f>
        <v/>
      </c>
      <c r="N19" s="10">
        <f>IF(A19="","",K19*RATE_RETAINED)</f>
        <v/>
      </c>
      <c r="O19" s="10">
        <f>IF(A19="","",L19+M19+N19)</f>
        <v/>
      </c>
    </row>
    <row r="20" ht="20" customHeight="1">
      <c r="A20" s="17" t="inlineStr"/>
      <c r="B20" s="18" t="n"/>
      <c r="C20" s="17" t="inlineStr"/>
      <c r="D20" s="7">
        <f>IF(A20="","",IF(C20="Signal-With-Start",1,IF(C20="Schedule",3,IF(C20="Ninguno",0,1))))</f>
        <v/>
      </c>
      <c r="E20" s="19" t="n"/>
      <c r="F20" s="18" t="n"/>
      <c r="G20" s="20" t="n"/>
      <c r="H20" s="21">
        <f>IF(A20="","",SUMIF(Pasos!$A$2:$A$151,A20,Pasos!$I$2:$I$151))</f>
        <v/>
      </c>
      <c r="I20" s="9">
        <f>IF(A20="","",MAX(0,N(B20))*(D20+H20))</f>
        <v/>
      </c>
      <c r="J20" s="11">
        <f>IF(A20="","",MAX(0,N(B20))*(MAX(0,N(F20))/1000000)*MAX(0,N(E20)))</f>
        <v/>
      </c>
      <c r="K20" s="11">
        <f>IF(A20="","",MAX(0,N(B20))*(MAX(0,N(F20))/1000000)*MAX(0,N(G20))*24)</f>
        <v/>
      </c>
      <c r="L20" s="10">
        <f>IF(A20="","",I20/1000000*RATE_ACTIONS)</f>
        <v/>
      </c>
      <c r="M20" s="10">
        <f>IF(A20="","",J20*RATE_ACTIVE)</f>
        <v/>
      </c>
      <c r="N20" s="10">
        <f>IF(A20="","",K20*RATE_RETAINED)</f>
        <v/>
      </c>
      <c r="O20" s="10">
        <f>IF(A20="","",L20+M20+N20)</f>
        <v/>
      </c>
    </row>
    <row r="21" ht="20" customHeight="1">
      <c r="A21" s="17" t="inlineStr"/>
      <c r="B21" s="18" t="n"/>
      <c r="C21" s="17" t="inlineStr"/>
      <c r="D21" s="7">
        <f>IF(A21="","",IF(C21="Signal-With-Start",1,IF(C21="Schedule",3,IF(C21="Ninguno",0,1))))</f>
        <v/>
      </c>
      <c r="E21" s="19" t="n"/>
      <c r="F21" s="18" t="n"/>
      <c r="G21" s="20" t="n"/>
      <c r="H21" s="21">
        <f>IF(A21="","",SUMIF(Pasos!$A$2:$A$151,A21,Pasos!$I$2:$I$151))</f>
        <v/>
      </c>
      <c r="I21" s="9">
        <f>IF(A21="","",MAX(0,N(B21))*(D21+H21))</f>
        <v/>
      </c>
      <c r="J21" s="11">
        <f>IF(A21="","",MAX(0,N(B21))*(MAX(0,N(F21))/1000000)*MAX(0,N(E21)))</f>
        <v/>
      </c>
      <c r="K21" s="11">
        <f>IF(A21="","",MAX(0,N(B21))*(MAX(0,N(F21))/1000000)*MAX(0,N(G21))*24)</f>
        <v/>
      </c>
      <c r="L21" s="10">
        <f>IF(A21="","",I21/1000000*RATE_ACTIONS)</f>
        <v/>
      </c>
      <c r="M21" s="10">
        <f>IF(A21="","",J21*RATE_ACTIVE)</f>
        <v/>
      </c>
      <c r="N21" s="10">
        <f>IF(A21="","",K21*RATE_RETAINED)</f>
        <v/>
      </c>
      <c r="O21" s="10">
        <f>IF(A21="","",L21+M21+N21)</f>
        <v/>
      </c>
    </row>
  </sheetData>
  <autoFilter ref="A1:O21"/>
  <dataValidations count="1">
    <dataValidation sqref="C2:C21" showDropDown="0" showInputMessage="0" showErrorMessage="1" allowBlank="1" errorTitle="Origen" error="Elige Cliente, Signal-With-Start, Schedule o Ninguno" type="list">
      <formula1>=Listas!$A$2:$A$5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DB022"/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6" customWidth="1" min="3" max="3"/>
    <col width="22" customWidth="1" min="4" max="4"/>
    <col width="14" customWidth="1" min="5" max="5"/>
    <col width="24" customWidth="1" min="6" max="6"/>
    <col width="26" customWidth="1" min="7" max="7"/>
    <col width="16" customWidth="1" min="8" max="8"/>
    <col width="18" customWidth="1" min="9" max="9"/>
  </cols>
  <sheetData>
    <row r="1" ht="32" customHeight="1">
      <c r="A1" s="16" t="inlineStr">
        <is>
          <t>Workflow (type)</t>
        </is>
      </c>
      <c r="B1" s="16" t="inlineStr">
        <is>
          <t>Tipo de paso</t>
        </is>
      </c>
      <c r="C1" s="16" t="inlineStr">
        <is>
          <t>Nombre del paso</t>
        </is>
      </c>
      <c r="D1" s="16" t="inlineStr">
        <is>
          <t>Veces si el camino ocurre</t>
        </is>
      </c>
      <c r="E1" s="16" t="inlineStr">
        <is>
          <t>% del flujo</t>
        </is>
      </c>
      <c r="F1" s="16" t="inlineStr">
        <is>
          <t>Retries avg (solo Activity)</t>
        </is>
      </c>
      <c r="G1" s="16" t="inlineStr">
        <is>
          <t>Heartbeats avg (solo Activity)</t>
        </is>
      </c>
      <c r="H1" s="16" t="inlineStr">
        <is>
          <t>Unidad oficial</t>
        </is>
      </c>
      <c r="I1" s="16" t="inlineStr">
        <is>
          <t>Actions / ejecución</t>
        </is>
      </c>
    </row>
    <row r="2" ht="18" customHeight="1">
      <c r="A2" s="17" t="inlineStr">
        <is>
          <t>Pago interbancario</t>
        </is>
      </c>
      <c r="B2" s="17" t="inlineStr">
        <is>
          <t>Activity</t>
        </is>
      </c>
      <c r="C2" s="17" t="inlineStr">
        <is>
          <t>Validar cuenta</t>
        </is>
      </c>
      <c r="D2" s="19" t="n">
        <v>1</v>
      </c>
      <c r="E2" s="20" t="n">
        <v>100</v>
      </c>
      <c r="F2" s="19" t="n">
        <v>0</v>
      </c>
      <c r="G2" s="19" t="n">
        <v>0</v>
      </c>
      <c r="H2" s="7">
        <f>IF(B2="","",IFERROR(VLOOKUP(B2,Listas!$B$2:$C$13,2,0),1))</f>
        <v/>
      </c>
      <c r="I2" s="22">
        <f>IF(OR(A2="",B2=""),"",IF(B2="Activity",MAX(0,N(D2))*(MIN(100,MAX(0,N(E2)))/100)*(1+MAX(0,N(F2))+MAX(0,N(G2))),MAX(0,N(D2))*(MIN(100,MAX(0,N(E2)))/100)*H2))</f>
        <v/>
      </c>
    </row>
    <row r="3" ht="18" customHeight="1">
      <c r="A3" s="17" t="inlineStr">
        <is>
          <t>Pago interbancario</t>
        </is>
      </c>
      <c r="B3" s="17" t="inlineStr">
        <is>
          <t>Activity</t>
        </is>
      </c>
      <c r="C3" s="17" t="inlineStr">
        <is>
          <t>Débito core</t>
        </is>
      </c>
      <c r="D3" s="19" t="n">
        <v>1</v>
      </c>
      <c r="E3" s="20" t="n">
        <v>98</v>
      </c>
      <c r="F3" s="19" t="n">
        <v>0.3</v>
      </c>
      <c r="G3" s="19" t="n">
        <v>4</v>
      </c>
      <c r="H3" s="7">
        <f>IF(B3="","",IFERROR(VLOOKUP(B3,Listas!$B$2:$C$13,2,0),1))</f>
        <v/>
      </c>
      <c r="I3" s="22">
        <f>IF(OR(A3="",B3=""),"",IF(B3="Activity",MAX(0,N(D3))*(MIN(100,MAX(0,N(E3)))/100)*(1+MAX(0,N(F3))+MAX(0,N(G3))),MAX(0,N(D3))*(MIN(100,MAX(0,N(E3)))/100)*H3))</f>
        <v/>
      </c>
    </row>
    <row r="4" ht="18" customHeight="1">
      <c r="A4" s="17" t="inlineStr">
        <is>
          <t>Pago interbancario</t>
        </is>
      </c>
      <c r="B4" s="17" t="inlineStr">
        <is>
          <t>Activity</t>
        </is>
      </c>
      <c r="C4" s="17" t="inlineStr">
        <is>
          <t>Crédito destino</t>
        </is>
      </c>
      <c r="D4" s="19" t="n">
        <v>1</v>
      </c>
      <c r="E4" s="20" t="n">
        <v>95</v>
      </c>
      <c r="F4" s="19" t="n">
        <v>0.4</v>
      </c>
      <c r="G4" s="19" t="n">
        <v>6</v>
      </c>
      <c r="H4" s="7">
        <f>IF(B4="","",IFERROR(VLOOKUP(B4,Listas!$B$2:$C$13,2,0),1))</f>
        <v/>
      </c>
      <c r="I4" s="22">
        <f>IF(OR(A4="",B4=""),"",IF(B4="Activity",MAX(0,N(D4))*(MIN(100,MAX(0,N(E4)))/100)*(1+MAX(0,N(F4))+MAX(0,N(G4))),MAX(0,N(D4))*(MIN(100,MAX(0,N(E4)))/100)*H4))</f>
        <v/>
      </c>
    </row>
    <row r="5" ht="18" customHeight="1">
      <c r="A5" s="17" t="inlineStr">
        <is>
          <t>Pago interbancario</t>
        </is>
      </c>
      <c r="B5" s="17" t="inlineStr">
        <is>
          <t>Activity</t>
        </is>
      </c>
      <c r="C5" s="17" t="inlineStr">
        <is>
          <t>Notificar</t>
        </is>
      </c>
      <c r="D5" s="19" t="n">
        <v>1</v>
      </c>
      <c r="E5" s="20" t="n">
        <v>100</v>
      </c>
      <c r="F5" s="19" t="n">
        <v>0</v>
      </c>
      <c r="G5" s="19" t="n">
        <v>0</v>
      </c>
      <c r="H5" s="7">
        <f>IF(B5="","",IFERROR(VLOOKUP(B5,Listas!$B$2:$C$13,2,0),1))</f>
        <v/>
      </c>
      <c r="I5" s="22">
        <f>IF(OR(A5="",B5=""),"",IF(B5="Activity",MAX(0,N(D5))*(MIN(100,MAX(0,N(E5)))/100)*(1+MAX(0,N(F5))+MAX(0,N(G5))),MAX(0,N(D5))*(MIN(100,MAX(0,N(E5)))/100)*H5))</f>
        <v/>
      </c>
    </row>
    <row r="6" ht="18" customHeight="1">
      <c r="A6" s="17" t="inlineStr">
        <is>
          <t>Pago interbancario</t>
        </is>
      </c>
      <c r="B6" s="17" t="inlineStr">
        <is>
          <t>Timer / timeout SDK</t>
        </is>
      </c>
      <c r="C6" s="17" t="inlineStr">
        <is>
          <t>Espera SLA / AwaitWithTimeout</t>
        </is>
      </c>
      <c r="D6" s="19" t="n">
        <v>1</v>
      </c>
      <c r="E6" s="20" t="n">
        <v>15</v>
      </c>
      <c r="F6" s="19" t="n">
        <v>0</v>
      </c>
      <c r="G6" s="19" t="n">
        <v>0</v>
      </c>
      <c r="H6" s="7">
        <f>IF(B6="","",IFERROR(VLOOKUP(B6,Listas!$B$2:$C$13,2,0),1))</f>
        <v/>
      </c>
      <c r="I6" s="22">
        <f>IF(OR(A6="",B6=""),"",IF(B6="Activity",MAX(0,N(D6))*(MIN(100,MAX(0,N(E6)))/100)*(1+MAX(0,N(F6))+MAX(0,N(G6))),MAX(0,N(D6))*(MIN(100,MAX(0,N(E6)))/100)*H6))</f>
        <v/>
      </c>
    </row>
    <row r="7" ht="18" customHeight="1">
      <c r="A7" s="17" t="inlineStr">
        <is>
          <t>Pago interbancario</t>
        </is>
      </c>
      <c r="B7" s="17" t="inlineStr">
        <is>
          <t>Signal</t>
        </is>
      </c>
      <c r="C7" s="17" t="inlineStr">
        <is>
          <t>Confirmación manual</t>
        </is>
      </c>
      <c r="D7" s="19" t="n">
        <v>1</v>
      </c>
      <c r="E7" s="20" t="n">
        <v>8</v>
      </c>
      <c r="F7" s="19" t="n">
        <v>0</v>
      </c>
      <c r="G7" s="19" t="n">
        <v>0</v>
      </c>
      <c r="H7" s="7">
        <f>IF(B7="","",IFERROR(VLOOKUP(B7,Listas!$B$2:$C$13,2,0),1))</f>
        <v/>
      </c>
      <c r="I7" s="22">
        <f>IF(OR(A7="",B7=""),"",IF(B7="Activity",MAX(0,N(D7))*(MIN(100,MAX(0,N(E7)))/100)*(1+MAX(0,N(F7))+MAX(0,N(G7))),MAX(0,N(D7))*(MIN(100,MAX(0,N(E7)))/100)*H7))</f>
        <v/>
      </c>
    </row>
    <row r="8" ht="18" customHeight="1">
      <c r="A8" s="17" t="inlineStr">
        <is>
          <t>Pago interbancario</t>
        </is>
      </c>
      <c r="B8" s="17" t="inlineStr">
        <is>
          <t>Query</t>
        </is>
      </c>
      <c r="C8" s="17" t="inlineStr">
        <is>
          <t>Consulta estado UI</t>
        </is>
      </c>
      <c r="D8" s="19" t="n">
        <v>2</v>
      </c>
      <c r="E8" s="20" t="n">
        <v>40</v>
      </c>
      <c r="F8" s="19" t="n">
        <v>0</v>
      </c>
      <c r="G8" s="19" t="n">
        <v>0</v>
      </c>
      <c r="H8" s="7">
        <f>IF(B8="","",IFERROR(VLOOKUP(B8,Listas!$B$2:$C$13,2,0),1))</f>
        <v/>
      </c>
      <c r="I8" s="22">
        <f>IF(OR(A8="",B8=""),"",IF(B8="Activity",MAX(0,N(D8))*(MIN(100,MAX(0,N(E8)))/100)*(1+MAX(0,N(F8))+MAX(0,N(G8))),MAX(0,N(D8))*(MIN(100,MAX(0,N(E8)))/100)*H8))</f>
        <v/>
      </c>
    </row>
    <row r="9" ht="18" customHeight="1">
      <c r="A9" s="17" t="inlineStr">
        <is>
          <t>Alta de cliente</t>
        </is>
      </c>
      <c r="B9" s="17" t="inlineStr">
        <is>
          <t>Activity</t>
        </is>
      </c>
      <c r="C9" s="17" t="inlineStr">
        <is>
          <t>KYC</t>
        </is>
      </c>
      <c r="D9" s="19" t="n">
        <v>1</v>
      </c>
      <c r="E9" s="20" t="n">
        <v>100</v>
      </c>
      <c r="F9" s="19" t="n">
        <v>1</v>
      </c>
      <c r="G9" s="19" t="n">
        <v>12</v>
      </c>
      <c r="H9" s="7">
        <f>IF(B9="","",IFERROR(VLOOKUP(B9,Listas!$B$2:$C$13,2,0),1))</f>
        <v/>
      </c>
      <c r="I9" s="22">
        <f>IF(OR(A9="",B9=""),"",IF(B9="Activity",MAX(0,N(D9))*(MIN(100,MAX(0,N(E9)))/100)*(1+MAX(0,N(F9))+MAX(0,N(G9))),MAX(0,N(D9))*(MIN(100,MAX(0,N(E9)))/100)*H9))</f>
        <v/>
      </c>
    </row>
    <row r="10" ht="18" customHeight="1">
      <c r="A10" s="17" t="inlineStr">
        <is>
          <t>Alta de cliente</t>
        </is>
      </c>
      <c r="B10" s="17" t="inlineStr">
        <is>
          <t>Activity</t>
        </is>
      </c>
      <c r="C10" s="17" t="inlineStr">
        <is>
          <t>Crear producto</t>
        </is>
      </c>
      <c r="D10" s="19" t="n">
        <v>1</v>
      </c>
      <c r="E10" s="20" t="n">
        <v>85</v>
      </c>
      <c r="F10" s="19" t="n">
        <v>0.2</v>
      </c>
      <c r="G10" s="19" t="n">
        <v>2</v>
      </c>
      <c r="H10" s="7">
        <f>IF(B10="","",IFERROR(VLOOKUP(B10,Listas!$B$2:$C$13,2,0),1))</f>
        <v/>
      </c>
      <c r="I10" s="22">
        <f>IF(OR(A10="",B10=""),"",IF(B10="Activity",MAX(0,N(D10))*(MIN(100,MAX(0,N(E10)))/100)*(1+MAX(0,N(F10))+MAX(0,N(G10))),MAX(0,N(D10))*(MIN(100,MAX(0,N(E10)))/100)*H10))</f>
        <v/>
      </c>
    </row>
    <row r="11" ht="18" customHeight="1">
      <c r="A11" s="17" t="inlineStr">
        <is>
          <t>Alta de cliente</t>
        </is>
      </c>
      <c r="B11" s="17" t="inlineStr">
        <is>
          <t>Timer / timeout SDK</t>
        </is>
      </c>
      <c r="C11" s="17" t="inlineStr">
        <is>
          <t>Espera documentos</t>
        </is>
      </c>
      <c r="D11" s="19" t="n">
        <v>1</v>
      </c>
      <c r="E11" s="20" t="n">
        <v>30</v>
      </c>
      <c r="F11" s="19" t="n">
        <v>0</v>
      </c>
      <c r="G11" s="19" t="n">
        <v>0</v>
      </c>
      <c r="H11" s="7">
        <f>IF(B11="","",IFERROR(VLOOKUP(B11,Listas!$B$2:$C$13,2,0),1))</f>
        <v/>
      </c>
      <c r="I11" s="22">
        <f>IF(OR(A11="",B11=""),"",IF(B11="Activity",MAX(0,N(D11))*(MIN(100,MAX(0,N(E11)))/100)*(1+MAX(0,N(F11))+MAX(0,N(G11))),MAX(0,N(D11))*(MIN(100,MAX(0,N(E11)))/100)*H11))</f>
        <v/>
      </c>
    </row>
    <row r="12" ht="18" customHeight="1">
      <c r="A12" s="17" t="inlineStr">
        <is>
          <t>Alta de cliente</t>
        </is>
      </c>
      <c r="B12" s="17" t="inlineStr">
        <is>
          <t>Signal</t>
        </is>
      </c>
      <c r="C12" s="17" t="inlineStr">
        <is>
          <t>Documentos listos</t>
        </is>
      </c>
      <c r="D12" s="19" t="n">
        <v>1</v>
      </c>
      <c r="E12" s="20" t="n">
        <v>30</v>
      </c>
      <c r="F12" s="19" t="n">
        <v>0</v>
      </c>
      <c r="G12" s="19" t="n">
        <v>0</v>
      </c>
      <c r="H12" s="7">
        <f>IF(B12="","",IFERROR(VLOOKUP(B12,Listas!$B$2:$C$13,2,0),1))</f>
        <v/>
      </c>
      <c r="I12" s="22">
        <f>IF(OR(A12="",B12=""),"",IF(B12="Activity",MAX(0,N(D12))*(MIN(100,MAX(0,N(E12)))/100)*(1+MAX(0,N(F12))+MAX(0,N(G12))),MAX(0,N(D12))*(MIN(100,MAX(0,N(E12)))/100)*H12))</f>
        <v/>
      </c>
    </row>
    <row r="13" ht="18" customHeight="1">
      <c r="A13" s="17" t="inlineStr">
        <is>
          <t>Alta de cliente</t>
        </is>
      </c>
      <c r="B13" s="17" t="inlineStr">
        <is>
          <t>Child (hijo NO listado)</t>
        </is>
      </c>
      <c r="C13" s="17" t="inlineStr">
        <is>
          <t>Onboarding cards (no listado)</t>
        </is>
      </c>
      <c r="D13" s="19" t="n">
        <v>1</v>
      </c>
      <c r="E13" s="20" t="n">
        <v>60</v>
      </c>
      <c r="F13" s="19" t="n">
        <v>0</v>
      </c>
      <c r="G13" s="19" t="n">
        <v>0</v>
      </c>
      <c r="H13" s="7">
        <f>IF(B13="","",IFERROR(VLOOKUP(B13,Listas!$B$2:$C$13,2,0),1))</f>
        <v/>
      </c>
      <c r="I13" s="22">
        <f>IF(OR(A13="",B13=""),"",IF(B13="Activity",MAX(0,N(D13))*(MIN(100,MAX(0,N(E13)))/100)*(1+MAX(0,N(F13))+MAX(0,N(G13))),MAX(0,N(D13))*(MIN(100,MAX(0,N(E13)))/100)*H13))</f>
        <v/>
      </c>
    </row>
    <row r="14" ht="18" customHeight="1">
      <c r="A14" s="17" t="n"/>
      <c r="B14" s="17" t="n"/>
      <c r="C14" s="17" t="n"/>
      <c r="D14" s="19" t="n"/>
      <c r="E14" s="20" t="n"/>
      <c r="F14" s="19" t="n"/>
      <c r="G14" s="19" t="n"/>
      <c r="H14" s="7">
        <f>IF(B14="","",IFERROR(VLOOKUP(B14,Listas!$B$2:$C$13,2,0),1))</f>
        <v/>
      </c>
      <c r="I14" s="22">
        <f>IF(OR(A14="",B14=""),"",IF(B14="Activity",MAX(0,N(D14))*(MIN(100,MAX(0,N(E14)))/100)*(1+MAX(0,N(F14))+MAX(0,N(G14))),MAX(0,N(D14))*(MIN(100,MAX(0,N(E14)))/100)*H14))</f>
        <v/>
      </c>
    </row>
    <row r="15" ht="18" customHeight="1">
      <c r="A15" s="17" t="n"/>
      <c r="B15" s="17" t="n"/>
      <c r="C15" s="17" t="n"/>
      <c r="D15" s="19" t="n"/>
      <c r="E15" s="20" t="n"/>
      <c r="F15" s="19" t="n"/>
      <c r="G15" s="19" t="n"/>
      <c r="H15" s="7">
        <f>IF(B15="","",IFERROR(VLOOKUP(B15,Listas!$B$2:$C$13,2,0),1))</f>
        <v/>
      </c>
      <c r="I15" s="22">
        <f>IF(OR(A15="",B15=""),"",IF(B15="Activity",MAX(0,N(D15))*(MIN(100,MAX(0,N(E15)))/100)*(1+MAX(0,N(F15))+MAX(0,N(G15))),MAX(0,N(D15))*(MIN(100,MAX(0,N(E15)))/100)*H15))</f>
        <v/>
      </c>
    </row>
    <row r="16" ht="18" customHeight="1">
      <c r="A16" s="17" t="n"/>
      <c r="B16" s="17" t="n"/>
      <c r="C16" s="17" t="n"/>
      <c r="D16" s="19" t="n"/>
      <c r="E16" s="20" t="n"/>
      <c r="F16" s="19" t="n"/>
      <c r="G16" s="19" t="n"/>
      <c r="H16" s="7">
        <f>IF(B16="","",IFERROR(VLOOKUP(B16,Listas!$B$2:$C$13,2,0),1))</f>
        <v/>
      </c>
      <c r="I16" s="22">
        <f>IF(OR(A16="",B16=""),"",IF(B16="Activity",MAX(0,N(D16))*(MIN(100,MAX(0,N(E16)))/100)*(1+MAX(0,N(F16))+MAX(0,N(G16))),MAX(0,N(D16))*(MIN(100,MAX(0,N(E16)))/100)*H16))</f>
        <v/>
      </c>
    </row>
    <row r="17" ht="18" customHeight="1">
      <c r="A17" s="17" t="n"/>
      <c r="B17" s="17" t="n"/>
      <c r="C17" s="17" t="n"/>
      <c r="D17" s="19" t="n"/>
      <c r="E17" s="20" t="n"/>
      <c r="F17" s="19" t="n"/>
      <c r="G17" s="19" t="n"/>
      <c r="H17" s="7">
        <f>IF(B17="","",IFERROR(VLOOKUP(B17,Listas!$B$2:$C$13,2,0),1))</f>
        <v/>
      </c>
      <c r="I17" s="22">
        <f>IF(OR(A17="",B17=""),"",IF(B17="Activity",MAX(0,N(D17))*(MIN(100,MAX(0,N(E17)))/100)*(1+MAX(0,N(F17))+MAX(0,N(G17))),MAX(0,N(D17))*(MIN(100,MAX(0,N(E17)))/100)*H17))</f>
        <v/>
      </c>
    </row>
    <row r="18" ht="18" customHeight="1">
      <c r="A18" s="17" t="n"/>
      <c r="B18" s="17" t="n"/>
      <c r="C18" s="17" t="n"/>
      <c r="D18" s="19" t="n"/>
      <c r="E18" s="20" t="n"/>
      <c r="F18" s="19" t="n"/>
      <c r="G18" s="19" t="n"/>
      <c r="H18" s="7">
        <f>IF(B18="","",IFERROR(VLOOKUP(B18,Listas!$B$2:$C$13,2,0),1))</f>
        <v/>
      </c>
      <c r="I18" s="22">
        <f>IF(OR(A18="",B18=""),"",IF(B18="Activity",MAX(0,N(D18))*(MIN(100,MAX(0,N(E18)))/100)*(1+MAX(0,N(F18))+MAX(0,N(G18))),MAX(0,N(D18))*(MIN(100,MAX(0,N(E18)))/100)*H18))</f>
        <v/>
      </c>
    </row>
    <row r="19" ht="18" customHeight="1">
      <c r="A19" s="17" t="n"/>
      <c r="B19" s="17" t="n"/>
      <c r="C19" s="17" t="n"/>
      <c r="D19" s="19" t="n"/>
      <c r="E19" s="20" t="n"/>
      <c r="F19" s="19" t="n"/>
      <c r="G19" s="19" t="n"/>
      <c r="H19" s="7">
        <f>IF(B19="","",IFERROR(VLOOKUP(B19,Listas!$B$2:$C$13,2,0),1))</f>
        <v/>
      </c>
      <c r="I19" s="22">
        <f>IF(OR(A19="",B19=""),"",IF(B19="Activity",MAX(0,N(D19))*(MIN(100,MAX(0,N(E19)))/100)*(1+MAX(0,N(F19))+MAX(0,N(G19))),MAX(0,N(D19))*(MIN(100,MAX(0,N(E19)))/100)*H19))</f>
        <v/>
      </c>
    </row>
    <row r="20" ht="18" customHeight="1">
      <c r="A20" s="17" t="n"/>
      <c r="B20" s="17" t="n"/>
      <c r="C20" s="17" t="n"/>
      <c r="D20" s="19" t="n"/>
      <c r="E20" s="20" t="n"/>
      <c r="F20" s="19" t="n"/>
      <c r="G20" s="19" t="n"/>
      <c r="H20" s="7">
        <f>IF(B20="","",IFERROR(VLOOKUP(B20,Listas!$B$2:$C$13,2,0),1))</f>
        <v/>
      </c>
      <c r="I20" s="22">
        <f>IF(OR(A20="",B20=""),"",IF(B20="Activity",MAX(0,N(D20))*(MIN(100,MAX(0,N(E20)))/100)*(1+MAX(0,N(F20))+MAX(0,N(G20))),MAX(0,N(D20))*(MIN(100,MAX(0,N(E20)))/100)*H20))</f>
        <v/>
      </c>
    </row>
    <row r="21" ht="18" customHeight="1">
      <c r="A21" s="17" t="n"/>
      <c r="B21" s="17" t="n"/>
      <c r="C21" s="17" t="n"/>
      <c r="D21" s="19" t="n"/>
      <c r="E21" s="20" t="n"/>
      <c r="F21" s="19" t="n"/>
      <c r="G21" s="19" t="n"/>
      <c r="H21" s="7">
        <f>IF(B21="","",IFERROR(VLOOKUP(B21,Listas!$B$2:$C$13,2,0),1))</f>
        <v/>
      </c>
      <c r="I21" s="22">
        <f>IF(OR(A21="",B21=""),"",IF(B21="Activity",MAX(0,N(D21))*(MIN(100,MAX(0,N(E21)))/100)*(1+MAX(0,N(F21))+MAX(0,N(G21))),MAX(0,N(D21))*(MIN(100,MAX(0,N(E21)))/100)*H21))</f>
        <v/>
      </c>
    </row>
    <row r="22" ht="18" customHeight="1">
      <c r="A22" s="17" t="n"/>
      <c r="B22" s="17" t="n"/>
      <c r="C22" s="17" t="n"/>
      <c r="D22" s="19" t="n"/>
      <c r="E22" s="20" t="n"/>
      <c r="F22" s="19" t="n"/>
      <c r="G22" s="19" t="n"/>
      <c r="H22" s="7">
        <f>IF(B22="","",IFERROR(VLOOKUP(B22,Listas!$B$2:$C$13,2,0),1))</f>
        <v/>
      </c>
      <c r="I22" s="22">
        <f>IF(OR(A22="",B22=""),"",IF(B22="Activity",MAX(0,N(D22))*(MIN(100,MAX(0,N(E22)))/100)*(1+MAX(0,N(F22))+MAX(0,N(G22))),MAX(0,N(D22))*(MIN(100,MAX(0,N(E22)))/100)*H22))</f>
        <v/>
      </c>
    </row>
    <row r="23" ht="18" customHeight="1">
      <c r="A23" s="17" t="n"/>
      <c r="B23" s="17" t="n"/>
      <c r="C23" s="17" t="n"/>
      <c r="D23" s="19" t="n"/>
      <c r="E23" s="20" t="n"/>
      <c r="F23" s="19" t="n"/>
      <c r="G23" s="19" t="n"/>
      <c r="H23" s="7">
        <f>IF(B23="","",IFERROR(VLOOKUP(B23,Listas!$B$2:$C$13,2,0),1))</f>
        <v/>
      </c>
      <c r="I23" s="22">
        <f>IF(OR(A23="",B23=""),"",IF(B23="Activity",MAX(0,N(D23))*(MIN(100,MAX(0,N(E23)))/100)*(1+MAX(0,N(F23))+MAX(0,N(G23))),MAX(0,N(D23))*(MIN(100,MAX(0,N(E23)))/100)*H23))</f>
        <v/>
      </c>
    </row>
    <row r="24" ht="18" customHeight="1">
      <c r="A24" s="17" t="n"/>
      <c r="B24" s="17" t="n"/>
      <c r="C24" s="17" t="n"/>
      <c r="D24" s="19" t="n"/>
      <c r="E24" s="20" t="n"/>
      <c r="F24" s="19" t="n"/>
      <c r="G24" s="19" t="n"/>
      <c r="H24" s="7">
        <f>IF(B24="","",IFERROR(VLOOKUP(B24,Listas!$B$2:$C$13,2,0),1))</f>
        <v/>
      </c>
      <c r="I24" s="22">
        <f>IF(OR(A24="",B24=""),"",IF(B24="Activity",MAX(0,N(D24))*(MIN(100,MAX(0,N(E24)))/100)*(1+MAX(0,N(F24))+MAX(0,N(G24))),MAX(0,N(D24))*(MIN(100,MAX(0,N(E24)))/100)*H24))</f>
        <v/>
      </c>
    </row>
    <row r="25" ht="18" customHeight="1">
      <c r="A25" s="17" t="n"/>
      <c r="B25" s="17" t="n"/>
      <c r="C25" s="17" t="n"/>
      <c r="D25" s="19" t="n"/>
      <c r="E25" s="20" t="n"/>
      <c r="F25" s="19" t="n"/>
      <c r="G25" s="19" t="n"/>
      <c r="H25" s="7">
        <f>IF(B25="","",IFERROR(VLOOKUP(B25,Listas!$B$2:$C$13,2,0),1))</f>
        <v/>
      </c>
      <c r="I25" s="22">
        <f>IF(OR(A25="",B25=""),"",IF(B25="Activity",MAX(0,N(D25))*(MIN(100,MAX(0,N(E25)))/100)*(1+MAX(0,N(F25))+MAX(0,N(G25))),MAX(0,N(D25))*(MIN(100,MAX(0,N(E25)))/100)*H25))</f>
        <v/>
      </c>
    </row>
    <row r="26" ht="18" customHeight="1">
      <c r="A26" s="17" t="n"/>
      <c r="B26" s="17" t="n"/>
      <c r="C26" s="17" t="n"/>
      <c r="D26" s="19" t="n"/>
      <c r="E26" s="20" t="n"/>
      <c r="F26" s="19" t="n"/>
      <c r="G26" s="19" t="n"/>
      <c r="H26" s="7">
        <f>IF(B26="","",IFERROR(VLOOKUP(B26,Listas!$B$2:$C$13,2,0),1))</f>
        <v/>
      </c>
      <c r="I26" s="22">
        <f>IF(OR(A26="",B26=""),"",IF(B26="Activity",MAX(0,N(D26))*(MIN(100,MAX(0,N(E26)))/100)*(1+MAX(0,N(F26))+MAX(0,N(G26))),MAX(0,N(D26))*(MIN(100,MAX(0,N(E26)))/100)*H26))</f>
        <v/>
      </c>
    </row>
    <row r="27" ht="18" customHeight="1">
      <c r="A27" s="17" t="n"/>
      <c r="B27" s="17" t="n"/>
      <c r="C27" s="17" t="n"/>
      <c r="D27" s="19" t="n"/>
      <c r="E27" s="20" t="n"/>
      <c r="F27" s="19" t="n"/>
      <c r="G27" s="19" t="n"/>
      <c r="H27" s="7">
        <f>IF(B27="","",IFERROR(VLOOKUP(B27,Listas!$B$2:$C$13,2,0),1))</f>
        <v/>
      </c>
      <c r="I27" s="22">
        <f>IF(OR(A27="",B27=""),"",IF(B27="Activity",MAX(0,N(D27))*(MIN(100,MAX(0,N(E27)))/100)*(1+MAX(0,N(F27))+MAX(0,N(G27))),MAX(0,N(D27))*(MIN(100,MAX(0,N(E27)))/100)*H27))</f>
        <v/>
      </c>
    </row>
    <row r="28" ht="18" customHeight="1">
      <c r="A28" s="17" t="n"/>
      <c r="B28" s="17" t="n"/>
      <c r="C28" s="17" t="n"/>
      <c r="D28" s="19" t="n"/>
      <c r="E28" s="20" t="n"/>
      <c r="F28" s="19" t="n"/>
      <c r="G28" s="19" t="n"/>
      <c r="H28" s="7">
        <f>IF(B28="","",IFERROR(VLOOKUP(B28,Listas!$B$2:$C$13,2,0),1))</f>
        <v/>
      </c>
      <c r="I28" s="22">
        <f>IF(OR(A28="",B28=""),"",IF(B28="Activity",MAX(0,N(D28))*(MIN(100,MAX(0,N(E28)))/100)*(1+MAX(0,N(F28))+MAX(0,N(G28))),MAX(0,N(D28))*(MIN(100,MAX(0,N(E28)))/100)*H28))</f>
        <v/>
      </c>
    </row>
    <row r="29" ht="18" customHeight="1">
      <c r="A29" s="17" t="n"/>
      <c r="B29" s="17" t="n"/>
      <c r="C29" s="17" t="n"/>
      <c r="D29" s="19" t="n"/>
      <c r="E29" s="20" t="n"/>
      <c r="F29" s="19" t="n"/>
      <c r="G29" s="19" t="n"/>
      <c r="H29" s="7">
        <f>IF(B29="","",IFERROR(VLOOKUP(B29,Listas!$B$2:$C$13,2,0),1))</f>
        <v/>
      </c>
      <c r="I29" s="22">
        <f>IF(OR(A29="",B29=""),"",IF(B29="Activity",MAX(0,N(D29))*(MIN(100,MAX(0,N(E29)))/100)*(1+MAX(0,N(F29))+MAX(0,N(G29))),MAX(0,N(D29))*(MIN(100,MAX(0,N(E29)))/100)*H29))</f>
        <v/>
      </c>
    </row>
    <row r="30" ht="18" customHeight="1">
      <c r="A30" s="17" t="n"/>
      <c r="B30" s="17" t="n"/>
      <c r="C30" s="17" t="n"/>
      <c r="D30" s="19" t="n"/>
      <c r="E30" s="20" t="n"/>
      <c r="F30" s="19" t="n"/>
      <c r="G30" s="19" t="n"/>
      <c r="H30" s="7">
        <f>IF(B30="","",IFERROR(VLOOKUP(B30,Listas!$B$2:$C$13,2,0),1))</f>
        <v/>
      </c>
      <c r="I30" s="22">
        <f>IF(OR(A30="",B30=""),"",IF(B30="Activity",MAX(0,N(D30))*(MIN(100,MAX(0,N(E30)))/100)*(1+MAX(0,N(F30))+MAX(0,N(G30))),MAX(0,N(D30))*(MIN(100,MAX(0,N(E30)))/100)*H30))</f>
        <v/>
      </c>
    </row>
    <row r="31" ht="18" customHeight="1">
      <c r="A31" s="17" t="n"/>
      <c r="B31" s="17" t="n"/>
      <c r="C31" s="17" t="n"/>
      <c r="D31" s="19" t="n"/>
      <c r="E31" s="20" t="n"/>
      <c r="F31" s="19" t="n"/>
      <c r="G31" s="19" t="n"/>
      <c r="H31" s="7">
        <f>IF(B31="","",IFERROR(VLOOKUP(B31,Listas!$B$2:$C$13,2,0),1))</f>
        <v/>
      </c>
      <c r="I31" s="22">
        <f>IF(OR(A31="",B31=""),"",IF(B31="Activity",MAX(0,N(D31))*(MIN(100,MAX(0,N(E31)))/100)*(1+MAX(0,N(F31))+MAX(0,N(G31))),MAX(0,N(D31))*(MIN(100,MAX(0,N(E31)))/100)*H31))</f>
        <v/>
      </c>
    </row>
    <row r="32" ht="18" customHeight="1">
      <c r="A32" s="17" t="n"/>
      <c r="B32" s="17" t="n"/>
      <c r="C32" s="17" t="n"/>
      <c r="D32" s="19" t="n"/>
      <c r="E32" s="20" t="n"/>
      <c r="F32" s="19" t="n"/>
      <c r="G32" s="19" t="n"/>
      <c r="H32" s="7">
        <f>IF(B32="","",IFERROR(VLOOKUP(B32,Listas!$B$2:$C$13,2,0),1))</f>
        <v/>
      </c>
      <c r="I32" s="22">
        <f>IF(OR(A32="",B32=""),"",IF(B32="Activity",MAX(0,N(D32))*(MIN(100,MAX(0,N(E32)))/100)*(1+MAX(0,N(F32))+MAX(0,N(G32))),MAX(0,N(D32))*(MIN(100,MAX(0,N(E32)))/100)*H32))</f>
        <v/>
      </c>
    </row>
    <row r="33" ht="18" customHeight="1">
      <c r="A33" s="17" t="n"/>
      <c r="B33" s="17" t="n"/>
      <c r="C33" s="17" t="n"/>
      <c r="D33" s="19" t="n"/>
      <c r="E33" s="20" t="n"/>
      <c r="F33" s="19" t="n"/>
      <c r="G33" s="19" t="n"/>
      <c r="H33" s="7">
        <f>IF(B33="","",IFERROR(VLOOKUP(B33,Listas!$B$2:$C$13,2,0),1))</f>
        <v/>
      </c>
      <c r="I33" s="22">
        <f>IF(OR(A33="",B33=""),"",IF(B33="Activity",MAX(0,N(D33))*(MIN(100,MAX(0,N(E33)))/100)*(1+MAX(0,N(F33))+MAX(0,N(G33))),MAX(0,N(D33))*(MIN(100,MAX(0,N(E33)))/100)*H33))</f>
        <v/>
      </c>
    </row>
    <row r="34" ht="18" customHeight="1">
      <c r="A34" s="17" t="n"/>
      <c r="B34" s="17" t="n"/>
      <c r="C34" s="17" t="n"/>
      <c r="D34" s="19" t="n"/>
      <c r="E34" s="20" t="n"/>
      <c r="F34" s="19" t="n"/>
      <c r="G34" s="19" t="n"/>
      <c r="H34" s="7">
        <f>IF(B34="","",IFERROR(VLOOKUP(B34,Listas!$B$2:$C$13,2,0),1))</f>
        <v/>
      </c>
      <c r="I34" s="22">
        <f>IF(OR(A34="",B34=""),"",IF(B34="Activity",MAX(0,N(D34))*(MIN(100,MAX(0,N(E34)))/100)*(1+MAX(0,N(F34))+MAX(0,N(G34))),MAX(0,N(D34))*(MIN(100,MAX(0,N(E34)))/100)*H34))</f>
        <v/>
      </c>
    </row>
    <row r="35" ht="18" customHeight="1">
      <c r="A35" s="17" t="n"/>
      <c r="B35" s="17" t="n"/>
      <c r="C35" s="17" t="n"/>
      <c r="D35" s="19" t="n"/>
      <c r="E35" s="20" t="n"/>
      <c r="F35" s="19" t="n"/>
      <c r="G35" s="19" t="n"/>
      <c r="H35" s="7">
        <f>IF(B35="","",IFERROR(VLOOKUP(B35,Listas!$B$2:$C$13,2,0),1))</f>
        <v/>
      </c>
      <c r="I35" s="22">
        <f>IF(OR(A35="",B35=""),"",IF(B35="Activity",MAX(0,N(D35))*(MIN(100,MAX(0,N(E35)))/100)*(1+MAX(0,N(F35))+MAX(0,N(G35))),MAX(0,N(D35))*(MIN(100,MAX(0,N(E35)))/100)*H35))</f>
        <v/>
      </c>
    </row>
    <row r="36" ht="18" customHeight="1">
      <c r="A36" s="17" t="n"/>
      <c r="B36" s="17" t="n"/>
      <c r="C36" s="17" t="n"/>
      <c r="D36" s="19" t="n"/>
      <c r="E36" s="20" t="n"/>
      <c r="F36" s="19" t="n"/>
      <c r="G36" s="19" t="n"/>
      <c r="H36" s="7">
        <f>IF(B36="","",IFERROR(VLOOKUP(B36,Listas!$B$2:$C$13,2,0),1))</f>
        <v/>
      </c>
      <c r="I36" s="22">
        <f>IF(OR(A36="",B36=""),"",IF(B36="Activity",MAX(0,N(D36))*(MIN(100,MAX(0,N(E36)))/100)*(1+MAX(0,N(F36))+MAX(0,N(G36))),MAX(0,N(D36))*(MIN(100,MAX(0,N(E36)))/100)*H36))</f>
        <v/>
      </c>
    </row>
    <row r="37" ht="18" customHeight="1">
      <c r="A37" s="17" t="n"/>
      <c r="B37" s="17" t="n"/>
      <c r="C37" s="17" t="n"/>
      <c r="D37" s="19" t="n"/>
      <c r="E37" s="20" t="n"/>
      <c r="F37" s="19" t="n"/>
      <c r="G37" s="19" t="n"/>
      <c r="H37" s="7">
        <f>IF(B37="","",IFERROR(VLOOKUP(B37,Listas!$B$2:$C$13,2,0),1))</f>
        <v/>
      </c>
      <c r="I37" s="22">
        <f>IF(OR(A37="",B37=""),"",IF(B37="Activity",MAX(0,N(D37))*(MIN(100,MAX(0,N(E37)))/100)*(1+MAX(0,N(F37))+MAX(0,N(G37))),MAX(0,N(D37))*(MIN(100,MAX(0,N(E37)))/100)*H37))</f>
        <v/>
      </c>
    </row>
    <row r="38" ht="18" customHeight="1">
      <c r="A38" s="17" t="n"/>
      <c r="B38" s="17" t="n"/>
      <c r="C38" s="17" t="n"/>
      <c r="D38" s="19" t="n"/>
      <c r="E38" s="20" t="n"/>
      <c r="F38" s="19" t="n"/>
      <c r="G38" s="19" t="n"/>
      <c r="H38" s="7">
        <f>IF(B38="","",IFERROR(VLOOKUP(B38,Listas!$B$2:$C$13,2,0),1))</f>
        <v/>
      </c>
      <c r="I38" s="22">
        <f>IF(OR(A38="",B38=""),"",IF(B38="Activity",MAX(0,N(D38))*(MIN(100,MAX(0,N(E38)))/100)*(1+MAX(0,N(F38))+MAX(0,N(G38))),MAX(0,N(D38))*(MIN(100,MAX(0,N(E38)))/100)*H38))</f>
        <v/>
      </c>
    </row>
    <row r="39" ht="18" customHeight="1">
      <c r="A39" s="17" t="n"/>
      <c r="B39" s="17" t="n"/>
      <c r="C39" s="17" t="n"/>
      <c r="D39" s="19" t="n"/>
      <c r="E39" s="20" t="n"/>
      <c r="F39" s="19" t="n"/>
      <c r="G39" s="19" t="n"/>
      <c r="H39" s="7">
        <f>IF(B39="","",IFERROR(VLOOKUP(B39,Listas!$B$2:$C$13,2,0),1))</f>
        <v/>
      </c>
      <c r="I39" s="22">
        <f>IF(OR(A39="",B39=""),"",IF(B39="Activity",MAX(0,N(D39))*(MIN(100,MAX(0,N(E39)))/100)*(1+MAX(0,N(F39))+MAX(0,N(G39))),MAX(0,N(D39))*(MIN(100,MAX(0,N(E39)))/100)*H39))</f>
        <v/>
      </c>
    </row>
    <row r="40" ht="18" customHeight="1">
      <c r="A40" s="17" t="n"/>
      <c r="B40" s="17" t="n"/>
      <c r="C40" s="17" t="n"/>
      <c r="D40" s="19" t="n"/>
      <c r="E40" s="20" t="n"/>
      <c r="F40" s="19" t="n"/>
      <c r="G40" s="19" t="n"/>
      <c r="H40" s="7">
        <f>IF(B40="","",IFERROR(VLOOKUP(B40,Listas!$B$2:$C$13,2,0),1))</f>
        <v/>
      </c>
      <c r="I40" s="22">
        <f>IF(OR(A40="",B40=""),"",IF(B40="Activity",MAX(0,N(D40))*(MIN(100,MAX(0,N(E40)))/100)*(1+MAX(0,N(F40))+MAX(0,N(G40))),MAX(0,N(D40))*(MIN(100,MAX(0,N(E40)))/100)*H40))</f>
        <v/>
      </c>
    </row>
    <row r="41" ht="18" customHeight="1">
      <c r="A41" s="17" t="n"/>
      <c r="B41" s="17" t="n"/>
      <c r="C41" s="17" t="n"/>
      <c r="D41" s="19" t="n"/>
      <c r="E41" s="20" t="n"/>
      <c r="F41" s="19" t="n"/>
      <c r="G41" s="19" t="n"/>
      <c r="H41" s="7">
        <f>IF(B41="","",IFERROR(VLOOKUP(B41,Listas!$B$2:$C$13,2,0),1))</f>
        <v/>
      </c>
      <c r="I41" s="22">
        <f>IF(OR(A41="",B41=""),"",IF(B41="Activity",MAX(0,N(D41))*(MIN(100,MAX(0,N(E41)))/100)*(1+MAX(0,N(F41))+MAX(0,N(G41))),MAX(0,N(D41))*(MIN(100,MAX(0,N(E41)))/100)*H41))</f>
        <v/>
      </c>
    </row>
    <row r="42" ht="18" customHeight="1">
      <c r="A42" s="17" t="n"/>
      <c r="B42" s="17" t="n"/>
      <c r="C42" s="17" t="n"/>
      <c r="D42" s="19" t="n"/>
      <c r="E42" s="20" t="n"/>
      <c r="F42" s="19" t="n"/>
      <c r="G42" s="19" t="n"/>
      <c r="H42" s="7">
        <f>IF(B42="","",IFERROR(VLOOKUP(B42,Listas!$B$2:$C$13,2,0),1))</f>
        <v/>
      </c>
      <c r="I42" s="22">
        <f>IF(OR(A42="",B42=""),"",IF(B42="Activity",MAX(0,N(D42))*(MIN(100,MAX(0,N(E42)))/100)*(1+MAX(0,N(F42))+MAX(0,N(G42))),MAX(0,N(D42))*(MIN(100,MAX(0,N(E42)))/100)*H42))</f>
        <v/>
      </c>
    </row>
    <row r="43" ht="18" customHeight="1">
      <c r="A43" s="17" t="n"/>
      <c r="B43" s="17" t="n"/>
      <c r="C43" s="17" t="n"/>
      <c r="D43" s="19" t="n"/>
      <c r="E43" s="20" t="n"/>
      <c r="F43" s="19" t="n"/>
      <c r="G43" s="19" t="n"/>
      <c r="H43" s="7">
        <f>IF(B43="","",IFERROR(VLOOKUP(B43,Listas!$B$2:$C$13,2,0),1))</f>
        <v/>
      </c>
      <c r="I43" s="22">
        <f>IF(OR(A43="",B43=""),"",IF(B43="Activity",MAX(0,N(D43))*(MIN(100,MAX(0,N(E43)))/100)*(1+MAX(0,N(F43))+MAX(0,N(G43))),MAX(0,N(D43))*(MIN(100,MAX(0,N(E43)))/100)*H43))</f>
        <v/>
      </c>
    </row>
    <row r="44" ht="18" customHeight="1">
      <c r="A44" s="17" t="n"/>
      <c r="B44" s="17" t="n"/>
      <c r="C44" s="17" t="n"/>
      <c r="D44" s="19" t="n"/>
      <c r="E44" s="20" t="n"/>
      <c r="F44" s="19" t="n"/>
      <c r="G44" s="19" t="n"/>
      <c r="H44" s="7">
        <f>IF(B44="","",IFERROR(VLOOKUP(B44,Listas!$B$2:$C$13,2,0),1))</f>
        <v/>
      </c>
      <c r="I44" s="22">
        <f>IF(OR(A44="",B44=""),"",IF(B44="Activity",MAX(0,N(D44))*(MIN(100,MAX(0,N(E44)))/100)*(1+MAX(0,N(F44))+MAX(0,N(G44))),MAX(0,N(D44))*(MIN(100,MAX(0,N(E44)))/100)*H44))</f>
        <v/>
      </c>
    </row>
    <row r="45" ht="18" customHeight="1">
      <c r="A45" s="17" t="n"/>
      <c r="B45" s="17" t="n"/>
      <c r="C45" s="17" t="n"/>
      <c r="D45" s="19" t="n"/>
      <c r="E45" s="20" t="n"/>
      <c r="F45" s="19" t="n"/>
      <c r="G45" s="19" t="n"/>
      <c r="H45" s="7">
        <f>IF(B45="","",IFERROR(VLOOKUP(B45,Listas!$B$2:$C$13,2,0),1))</f>
        <v/>
      </c>
      <c r="I45" s="22">
        <f>IF(OR(A45="",B45=""),"",IF(B45="Activity",MAX(0,N(D45))*(MIN(100,MAX(0,N(E45)))/100)*(1+MAX(0,N(F45))+MAX(0,N(G45))),MAX(0,N(D45))*(MIN(100,MAX(0,N(E45)))/100)*H45))</f>
        <v/>
      </c>
    </row>
    <row r="46" ht="18" customHeight="1">
      <c r="A46" s="17" t="n"/>
      <c r="B46" s="17" t="n"/>
      <c r="C46" s="17" t="n"/>
      <c r="D46" s="19" t="n"/>
      <c r="E46" s="20" t="n"/>
      <c r="F46" s="19" t="n"/>
      <c r="G46" s="19" t="n"/>
      <c r="H46" s="7">
        <f>IF(B46="","",IFERROR(VLOOKUP(B46,Listas!$B$2:$C$13,2,0),1))</f>
        <v/>
      </c>
      <c r="I46" s="22">
        <f>IF(OR(A46="",B46=""),"",IF(B46="Activity",MAX(0,N(D46))*(MIN(100,MAX(0,N(E46)))/100)*(1+MAX(0,N(F46))+MAX(0,N(G46))),MAX(0,N(D46))*(MIN(100,MAX(0,N(E46)))/100)*H46))</f>
        <v/>
      </c>
    </row>
    <row r="47" ht="18" customHeight="1">
      <c r="A47" s="17" t="n"/>
      <c r="B47" s="17" t="n"/>
      <c r="C47" s="17" t="n"/>
      <c r="D47" s="19" t="n"/>
      <c r="E47" s="20" t="n"/>
      <c r="F47" s="19" t="n"/>
      <c r="G47" s="19" t="n"/>
      <c r="H47" s="7">
        <f>IF(B47="","",IFERROR(VLOOKUP(B47,Listas!$B$2:$C$13,2,0),1))</f>
        <v/>
      </c>
      <c r="I47" s="22">
        <f>IF(OR(A47="",B47=""),"",IF(B47="Activity",MAX(0,N(D47))*(MIN(100,MAX(0,N(E47)))/100)*(1+MAX(0,N(F47))+MAX(0,N(G47))),MAX(0,N(D47))*(MIN(100,MAX(0,N(E47)))/100)*H47))</f>
        <v/>
      </c>
    </row>
    <row r="48" ht="18" customHeight="1">
      <c r="A48" s="17" t="n"/>
      <c r="B48" s="17" t="n"/>
      <c r="C48" s="17" t="n"/>
      <c r="D48" s="19" t="n"/>
      <c r="E48" s="20" t="n"/>
      <c r="F48" s="19" t="n"/>
      <c r="G48" s="19" t="n"/>
      <c r="H48" s="7">
        <f>IF(B48="","",IFERROR(VLOOKUP(B48,Listas!$B$2:$C$13,2,0),1))</f>
        <v/>
      </c>
      <c r="I48" s="22">
        <f>IF(OR(A48="",B48=""),"",IF(B48="Activity",MAX(0,N(D48))*(MIN(100,MAX(0,N(E48)))/100)*(1+MAX(0,N(F48))+MAX(0,N(G48))),MAX(0,N(D48))*(MIN(100,MAX(0,N(E48)))/100)*H48))</f>
        <v/>
      </c>
    </row>
    <row r="49" ht="18" customHeight="1">
      <c r="A49" s="17" t="n"/>
      <c r="B49" s="17" t="n"/>
      <c r="C49" s="17" t="n"/>
      <c r="D49" s="19" t="n"/>
      <c r="E49" s="20" t="n"/>
      <c r="F49" s="19" t="n"/>
      <c r="G49" s="19" t="n"/>
      <c r="H49" s="7">
        <f>IF(B49="","",IFERROR(VLOOKUP(B49,Listas!$B$2:$C$13,2,0),1))</f>
        <v/>
      </c>
      <c r="I49" s="22">
        <f>IF(OR(A49="",B49=""),"",IF(B49="Activity",MAX(0,N(D49))*(MIN(100,MAX(0,N(E49)))/100)*(1+MAX(0,N(F49))+MAX(0,N(G49))),MAX(0,N(D49))*(MIN(100,MAX(0,N(E49)))/100)*H49))</f>
        <v/>
      </c>
    </row>
    <row r="50" ht="18" customHeight="1">
      <c r="A50" s="17" t="n"/>
      <c r="B50" s="17" t="n"/>
      <c r="C50" s="17" t="n"/>
      <c r="D50" s="19" t="n"/>
      <c r="E50" s="20" t="n"/>
      <c r="F50" s="19" t="n"/>
      <c r="G50" s="19" t="n"/>
      <c r="H50" s="7">
        <f>IF(B50="","",IFERROR(VLOOKUP(B50,Listas!$B$2:$C$13,2,0),1))</f>
        <v/>
      </c>
      <c r="I50" s="22">
        <f>IF(OR(A50="",B50=""),"",IF(B50="Activity",MAX(0,N(D50))*(MIN(100,MAX(0,N(E50)))/100)*(1+MAX(0,N(F50))+MAX(0,N(G50))),MAX(0,N(D50))*(MIN(100,MAX(0,N(E50)))/100)*H50))</f>
        <v/>
      </c>
    </row>
    <row r="51" ht="18" customHeight="1">
      <c r="A51" s="17" t="n"/>
      <c r="B51" s="17" t="n"/>
      <c r="C51" s="17" t="n"/>
      <c r="D51" s="19" t="n"/>
      <c r="E51" s="20" t="n"/>
      <c r="F51" s="19" t="n"/>
      <c r="G51" s="19" t="n"/>
      <c r="H51" s="7">
        <f>IF(B51="","",IFERROR(VLOOKUP(B51,Listas!$B$2:$C$13,2,0),1))</f>
        <v/>
      </c>
      <c r="I51" s="22">
        <f>IF(OR(A51="",B51=""),"",IF(B51="Activity",MAX(0,N(D51))*(MIN(100,MAX(0,N(E51)))/100)*(1+MAX(0,N(F51))+MAX(0,N(G51))),MAX(0,N(D51))*(MIN(100,MAX(0,N(E51)))/100)*H51))</f>
        <v/>
      </c>
    </row>
    <row r="52" ht="18" customHeight="1">
      <c r="A52" s="17" t="n"/>
      <c r="B52" s="17" t="n"/>
      <c r="C52" s="17" t="n"/>
      <c r="D52" s="19" t="n"/>
      <c r="E52" s="20" t="n"/>
      <c r="F52" s="19" t="n"/>
      <c r="G52" s="19" t="n"/>
      <c r="H52" s="7">
        <f>IF(B52="","",IFERROR(VLOOKUP(B52,Listas!$B$2:$C$13,2,0),1))</f>
        <v/>
      </c>
      <c r="I52" s="22">
        <f>IF(OR(A52="",B52=""),"",IF(B52="Activity",MAX(0,N(D52))*(MIN(100,MAX(0,N(E52)))/100)*(1+MAX(0,N(F52))+MAX(0,N(G52))),MAX(0,N(D52))*(MIN(100,MAX(0,N(E52)))/100)*H52))</f>
        <v/>
      </c>
    </row>
    <row r="53" ht="18" customHeight="1">
      <c r="A53" s="17" t="n"/>
      <c r="B53" s="17" t="n"/>
      <c r="C53" s="17" t="n"/>
      <c r="D53" s="19" t="n"/>
      <c r="E53" s="20" t="n"/>
      <c r="F53" s="19" t="n"/>
      <c r="G53" s="19" t="n"/>
      <c r="H53" s="7">
        <f>IF(B53="","",IFERROR(VLOOKUP(B53,Listas!$B$2:$C$13,2,0),1))</f>
        <v/>
      </c>
      <c r="I53" s="22">
        <f>IF(OR(A53="",B53=""),"",IF(B53="Activity",MAX(0,N(D53))*(MIN(100,MAX(0,N(E53)))/100)*(1+MAX(0,N(F53))+MAX(0,N(G53))),MAX(0,N(D53))*(MIN(100,MAX(0,N(E53)))/100)*H53))</f>
        <v/>
      </c>
    </row>
    <row r="54" ht="18" customHeight="1">
      <c r="A54" s="17" t="n"/>
      <c r="B54" s="17" t="n"/>
      <c r="C54" s="17" t="n"/>
      <c r="D54" s="19" t="n"/>
      <c r="E54" s="20" t="n"/>
      <c r="F54" s="19" t="n"/>
      <c r="G54" s="19" t="n"/>
      <c r="H54" s="7">
        <f>IF(B54="","",IFERROR(VLOOKUP(B54,Listas!$B$2:$C$13,2,0),1))</f>
        <v/>
      </c>
      <c r="I54" s="22">
        <f>IF(OR(A54="",B54=""),"",IF(B54="Activity",MAX(0,N(D54))*(MIN(100,MAX(0,N(E54)))/100)*(1+MAX(0,N(F54))+MAX(0,N(G54))),MAX(0,N(D54))*(MIN(100,MAX(0,N(E54)))/100)*H54))</f>
        <v/>
      </c>
    </row>
    <row r="55" ht="18" customHeight="1">
      <c r="A55" s="17" t="n"/>
      <c r="B55" s="17" t="n"/>
      <c r="C55" s="17" t="n"/>
      <c r="D55" s="19" t="n"/>
      <c r="E55" s="20" t="n"/>
      <c r="F55" s="19" t="n"/>
      <c r="G55" s="19" t="n"/>
      <c r="H55" s="7">
        <f>IF(B55="","",IFERROR(VLOOKUP(B55,Listas!$B$2:$C$13,2,0),1))</f>
        <v/>
      </c>
      <c r="I55" s="22">
        <f>IF(OR(A55="",B55=""),"",IF(B55="Activity",MAX(0,N(D55))*(MIN(100,MAX(0,N(E55)))/100)*(1+MAX(0,N(F55))+MAX(0,N(G55))),MAX(0,N(D55))*(MIN(100,MAX(0,N(E55)))/100)*H55))</f>
        <v/>
      </c>
    </row>
    <row r="56" ht="18" customHeight="1">
      <c r="A56" s="17" t="n"/>
      <c r="B56" s="17" t="n"/>
      <c r="C56" s="17" t="n"/>
      <c r="D56" s="19" t="n"/>
      <c r="E56" s="20" t="n"/>
      <c r="F56" s="19" t="n"/>
      <c r="G56" s="19" t="n"/>
      <c r="H56" s="7">
        <f>IF(B56="","",IFERROR(VLOOKUP(B56,Listas!$B$2:$C$13,2,0),1))</f>
        <v/>
      </c>
      <c r="I56" s="22">
        <f>IF(OR(A56="",B56=""),"",IF(B56="Activity",MAX(0,N(D56))*(MIN(100,MAX(0,N(E56)))/100)*(1+MAX(0,N(F56))+MAX(0,N(G56))),MAX(0,N(D56))*(MIN(100,MAX(0,N(E56)))/100)*H56))</f>
        <v/>
      </c>
    </row>
    <row r="57" ht="18" customHeight="1">
      <c r="A57" s="17" t="n"/>
      <c r="B57" s="17" t="n"/>
      <c r="C57" s="17" t="n"/>
      <c r="D57" s="19" t="n"/>
      <c r="E57" s="20" t="n"/>
      <c r="F57" s="19" t="n"/>
      <c r="G57" s="19" t="n"/>
      <c r="H57" s="7">
        <f>IF(B57="","",IFERROR(VLOOKUP(B57,Listas!$B$2:$C$13,2,0),1))</f>
        <v/>
      </c>
      <c r="I57" s="22">
        <f>IF(OR(A57="",B57=""),"",IF(B57="Activity",MAX(0,N(D57))*(MIN(100,MAX(0,N(E57)))/100)*(1+MAX(0,N(F57))+MAX(0,N(G57))),MAX(0,N(D57))*(MIN(100,MAX(0,N(E57)))/100)*H57))</f>
        <v/>
      </c>
    </row>
    <row r="58" ht="18" customHeight="1">
      <c r="A58" s="17" t="n"/>
      <c r="B58" s="17" t="n"/>
      <c r="C58" s="17" t="n"/>
      <c r="D58" s="19" t="n"/>
      <c r="E58" s="20" t="n"/>
      <c r="F58" s="19" t="n"/>
      <c r="G58" s="19" t="n"/>
      <c r="H58" s="7">
        <f>IF(B58="","",IFERROR(VLOOKUP(B58,Listas!$B$2:$C$13,2,0),1))</f>
        <v/>
      </c>
      <c r="I58" s="22">
        <f>IF(OR(A58="",B58=""),"",IF(B58="Activity",MAX(0,N(D58))*(MIN(100,MAX(0,N(E58)))/100)*(1+MAX(0,N(F58))+MAX(0,N(G58))),MAX(0,N(D58))*(MIN(100,MAX(0,N(E58)))/100)*H58))</f>
        <v/>
      </c>
    </row>
    <row r="59" ht="18" customHeight="1">
      <c r="A59" s="17" t="n"/>
      <c r="B59" s="17" t="n"/>
      <c r="C59" s="17" t="n"/>
      <c r="D59" s="19" t="n"/>
      <c r="E59" s="20" t="n"/>
      <c r="F59" s="19" t="n"/>
      <c r="G59" s="19" t="n"/>
      <c r="H59" s="7">
        <f>IF(B59="","",IFERROR(VLOOKUP(B59,Listas!$B$2:$C$13,2,0),1))</f>
        <v/>
      </c>
      <c r="I59" s="22">
        <f>IF(OR(A59="",B59=""),"",IF(B59="Activity",MAX(0,N(D59))*(MIN(100,MAX(0,N(E59)))/100)*(1+MAX(0,N(F59))+MAX(0,N(G59))),MAX(0,N(D59))*(MIN(100,MAX(0,N(E59)))/100)*H59))</f>
        <v/>
      </c>
    </row>
    <row r="60" ht="18" customHeight="1">
      <c r="A60" s="17" t="n"/>
      <c r="B60" s="17" t="n"/>
      <c r="C60" s="17" t="n"/>
      <c r="D60" s="19" t="n"/>
      <c r="E60" s="20" t="n"/>
      <c r="F60" s="19" t="n"/>
      <c r="G60" s="19" t="n"/>
      <c r="H60" s="7">
        <f>IF(B60="","",IFERROR(VLOOKUP(B60,Listas!$B$2:$C$13,2,0),1))</f>
        <v/>
      </c>
      <c r="I60" s="22">
        <f>IF(OR(A60="",B60=""),"",IF(B60="Activity",MAX(0,N(D60))*(MIN(100,MAX(0,N(E60)))/100)*(1+MAX(0,N(F60))+MAX(0,N(G60))),MAX(0,N(D60))*(MIN(100,MAX(0,N(E60)))/100)*H60))</f>
        <v/>
      </c>
    </row>
    <row r="61" ht="18" customHeight="1">
      <c r="A61" s="17" t="n"/>
      <c r="B61" s="17" t="n"/>
      <c r="C61" s="17" t="n"/>
      <c r="D61" s="19" t="n"/>
      <c r="E61" s="20" t="n"/>
      <c r="F61" s="19" t="n"/>
      <c r="G61" s="19" t="n"/>
      <c r="H61" s="7">
        <f>IF(B61="","",IFERROR(VLOOKUP(B61,Listas!$B$2:$C$13,2,0),1))</f>
        <v/>
      </c>
      <c r="I61" s="22">
        <f>IF(OR(A61="",B61=""),"",IF(B61="Activity",MAX(0,N(D61))*(MIN(100,MAX(0,N(E61)))/100)*(1+MAX(0,N(F61))+MAX(0,N(G61))),MAX(0,N(D61))*(MIN(100,MAX(0,N(E61)))/100)*H61))</f>
        <v/>
      </c>
    </row>
    <row r="62" ht="18" customHeight="1">
      <c r="A62" s="17" t="n"/>
      <c r="B62" s="17" t="n"/>
      <c r="C62" s="17" t="n"/>
      <c r="D62" s="19" t="n"/>
      <c r="E62" s="20" t="n"/>
      <c r="F62" s="19" t="n"/>
      <c r="G62" s="19" t="n"/>
      <c r="H62" s="7">
        <f>IF(B62="","",IFERROR(VLOOKUP(B62,Listas!$B$2:$C$13,2,0),1))</f>
        <v/>
      </c>
      <c r="I62" s="22">
        <f>IF(OR(A62="",B62=""),"",IF(B62="Activity",MAX(0,N(D62))*(MIN(100,MAX(0,N(E62)))/100)*(1+MAX(0,N(F62))+MAX(0,N(G62))),MAX(0,N(D62))*(MIN(100,MAX(0,N(E62)))/100)*H62))</f>
        <v/>
      </c>
    </row>
    <row r="63" ht="18" customHeight="1">
      <c r="A63" s="17" t="n"/>
      <c r="B63" s="17" t="n"/>
      <c r="C63" s="17" t="n"/>
      <c r="D63" s="19" t="n"/>
      <c r="E63" s="20" t="n"/>
      <c r="F63" s="19" t="n"/>
      <c r="G63" s="19" t="n"/>
      <c r="H63" s="7">
        <f>IF(B63="","",IFERROR(VLOOKUP(B63,Listas!$B$2:$C$13,2,0),1))</f>
        <v/>
      </c>
      <c r="I63" s="22">
        <f>IF(OR(A63="",B63=""),"",IF(B63="Activity",MAX(0,N(D63))*(MIN(100,MAX(0,N(E63)))/100)*(1+MAX(0,N(F63))+MAX(0,N(G63))),MAX(0,N(D63))*(MIN(100,MAX(0,N(E63)))/100)*H63))</f>
        <v/>
      </c>
    </row>
    <row r="64" ht="18" customHeight="1">
      <c r="A64" s="17" t="n"/>
      <c r="B64" s="17" t="n"/>
      <c r="C64" s="17" t="n"/>
      <c r="D64" s="19" t="n"/>
      <c r="E64" s="20" t="n"/>
      <c r="F64" s="19" t="n"/>
      <c r="G64" s="19" t="n"/>
      <c r="H64" s="7">
        <f>IF(B64="","",IFERROR(VLOOKUP(B64,Listas!$B$2:$C$13,2,0),1))</f>
        <v/>
      </c>
      <c r="I64" s="22">
        <f>IF(OR(A64="",B64=""),"",IF(B64="Activity",MAX(0,N(D64))*(MIN(100,MAX(0,N(E64)))/100)*(1+MAX(0,N(F64))+MAX(0,N(G64))),MAX(0,N(D64))*(MIN(100,MAX(0,N(E64)))/100)*H64))</f>
        <v/>
      </c>
    </row>
    <row r="65" ht="18" customHeight="1">
      <c r="A65" s="17" t="n"/>
      <c r="B65" s="17" t="n"/>
      <c r="C65" s="17" t="n"/>
      <c r="D65" s="19" t="n"/>
      <c r="E65" s="20" t="n"/>
      <c r="F65" s="19" t="n"/>
      <c r="G65" s="19" t="n"/>
      <c r="H65" s="7">
        <f>IF(B65="","",IFERROR(VLOOKUP(B65,Listas!$B$2:$C$13,2,0),1))</f>
        <v/>
      </c>
      <c r="I65" s="22">
        <f>IF(OR(A65="",B65=""),"",IF(B65="Activity",MAX(0,N(D65))*(MIN(100,MAX(0,N(E65)))/100)*(1+MAX(0,N(F65))+MAX(0,N(G65))),MAX(0,N(D65))*(MIN(100,MAX(0,N(E65)))/100)*H65))</f>
        <v/>
      </c>
    </row>
    <row r="66" ht="18" customHeight="1">
      <c r="A66" s="17" t="n"/>
      <c r="B66" s="17" t="n"/>
      <c r="C66" s="17" t="n"/>
      <c r="D66" s="19" t="n"/>
      <c r="E66" s="20" t="n"/>
      <c r="F66" s="19" t="n"/>
      <c r="G66" s="19" t="n"/>
      <c r="H66" s="7">
        <f>IF(B66="","",IFERROR(VLOOKUP(B66,Listas!$B$2:$C$13,2,0),1))</f>
        <v/>
      </c>
      <c r="I66" s="22">
        <f>IF(OR(A66="",B66=""),"",IF(B66="Activity",MAX(0,N(D66))*(MIN(100,MAX(0,N(E66)))/100)*(1+MAX(0,N(F66))+MAX(0,N(G66))),MAX(0,N(D66))*(MIN(100,MAX(0,N(E66)))/100)*H66))</f>
        <v/>
      </c>
    </row>
    <row r="67" ht="18" customHeight="1">
      <c r="A67" s="17" t="n"/>
      <c r="B67" s="17" t="n"/>
      <c r="C67" s="17" t="n"/>
      <c r="D67" s="19" t="n"/>
      <c r="E67" s="20" t="n"/>
      <c r="F67" s="19" t="n"/>
      <c r="G67" s="19" t="n"/>
      <c r="H67" s="7">
        <f>IF(B67="","",IFERROR(VLOOKUP(B67,Listas!$B$2:$C$13,2,0),1))</f>
        <v/>
      </c>
      <c r="I67" s="22">
        <f>IF(OR(A67="",B67=""),"",IF(B67="Activity",MAX(0,N(D67))*(MIN(100,MAX(0,N(E67)))/100)*(1+MAX(0,N(F67))+MAX(0,N(G67))),MAX(0,N(D67))*(MIN(100,MAX(0,N(E67)))/100)*H67))</f>
        <v/>
      </c>
    </row>
    <row r="68" ht="18" customHeight="1">
      <c r="A68" s="17" t="n"/>
      <c r="B68" s="17" t="n"/>
      <c r="C68" s="17" t="n"/>
      <c r="D68" s="19" t="n"/>
      <c r="E68" s="20" t="n"/>
      <c r="F68" s="19" t="n"/>
      <c r="G68" s="19" t="n"/>
      <c r="H68" s="7">
        <f>IF(B68="","",IFERROR(VLOOKUP(B68,Listas!$B$2:$C$13,2,0),1))</f>
        <v/>
      </c>
      <c r="I68" s="22">
        <f>IF(OR(A68="",B68=""),"",IF(B68="Activity",MAX(0,N(D68))*(MIN(100,MAX(0,N(E68)))/100)*(1+MAX(0,N(F68))+MAX(0,N(G68))),MAX(0,N(D68))*(MIN(100,MAX(0,N(E68)))/100)*H68))</f>
        <v/>
      </c>
    </row>
    <row r="69" ht="18" customHeight="1">
      <c r="A69" s="17" t="n"/>
      <c r="B69" s="17" t="n"/>
      <c r="C69" s="17" t="n"/>
      <c r="D69" s="19" t="n"/>
      <c r="E69" s="20" t="n"/>
      <c r="F69" s="19" t="n"/>
      <c r="G69" s="19" t="n"/>
      <c r="H69" s="7">
        <f>IF(B69="","",IFERROR(VLOOKUP(B69,Listas!$B$2:$C$13,2,0),1))</f>
        <v/>
      </c>
      <c r="I69" s="22">
        <f>IF(OR(A69="",B69=""),"",IF(B69="Activity",MAX(0,N(D69))*(MIN(100,MAX(0,N(E69)))/100)*(1+MAX(0,N(F69))+MAX(0,N(G69))),MAX(0,N(D69))*(MIN(100,MAX(0,N(E69)))/100)*H69))</f>
        <v/>
      </c>
    </row>
    <row r="70" ht="18" customHeight="1">
      <c r="A70" s="17" t="n"/>
      <c r="B70" s="17" t="n"/>
      <c r="C70" s="17" t="n"/>
      <c r="D70" s="19" t="n"/>
      <c r="E70" s="20" t="n"/>
      <c r="F70" s="19" t="n"/>
      <c r="G70" s="19" t="n"/>
      <c r="H70" s="7">
        <f>IF(B70="","",IFERROR(VLOOKUP(B70,Listas!$B$2:$C$13,2,0),1))</f>
        <v/>
      </c>
      <c r="I70" s="22">
        <f>IF(OR(A70="",B70=""),"",IF(B70="Activity",MAX(0,N(D70))*(MIN(100,MAX(0,N(E70)))/100)*(1+MAX(0,N(F70))+MAX(0,N(G70))),MAX(0,N(D70))*(MIN(100,MAX(0,N(E70)))/100)*H70))</f>
        <v/>
      </c>
    </row>
    <row r="71" ht="18" customHeight="1">
      <c r="A71" s="17" t="n"/>
      <c r="B71" s="17" t="n"/>
      <c r="C71" s="17" t="n"/>
      <c r="D71" s="19" t="n"/>
      <c r="E71" s="20" t="n"/>
      <c r="F71" s="19" t="n"/>
      <c r="G71" s="19" t="n"/>
      <c r="H71" s="7">
        <f>IF(B71="","",IFERROR(VLOOKUP(B71,Listas!$B$2:$C$13,2,0),1))</f>
        <v/>
      </c>
      <c r="I71" s="22">
        <f>IF(OR(A71="",B71=""),"",IF(B71="Activity",MAX(0,N(D71))*(MIN(100,MAX(0,N(E71)))/100)*(1+MAX(0,N(F71))+MAX(0,N(G71))),MAX(0,N(D71))*(MIN(100,MAX(0,N(E71)))/100)*H71))</f>
        <v/>
      </c>
    </row>
    <row r="72" ht="18" customHeight="1">
      <c r="A72" s="17" t="n"/>
      <c r="B72" s="17" t="n"/>
      <c r="C72" s="17" t="n"/>
      <c r="D72" s="19" t="n"/>
      <c r="E72" s="20" t="n"/>
      <c r="F72" s="19" t="n"/>
      <c r="G72" s="19" t="n"/>
      <c r="H72" s="7">
        <f>IF(B72="","",IFERROR(VLOOKUP(B72,Listas!$B$2:$C$13,2,0),1))</f>
        <v/>
      </c>
      <c r="I72" s="22">
        <f>IF(OR(A72="",B72=""),"",IF(B72="Activity",MAX(0,N(D72))*(MIN(100,MAX(0,N(E72)))/100)*(1+MAX(0,N(F72))+MAX(0,N(G72))),MAX(0,N(D72))*(MIN(100,MAX(0,N(E72)))/100)*H72))</f>
        <v/>
      </c>
    </row>
    <row r="73" ht="18" customHeight="1">
      <c r="A73" s="17" t="n"/>
      <c r="B73" s="17" t="n"/>
      <c r="C73" s="17" t="n"/>
      <c r="D73" s="19" t="n"/>
      <c r="E73" s="20" t="n"/>
      <c r="F73" s="19" t="n"/>
      <c r="G73" s="19" t="n"/>
      <c r="H73" s="7">
        <f>IF(B73="","",IFERROR(VLOOKUP(B73,Listas!$B$2:$C$13,2,0),1))</f>
        <v/>
      </c>
      <c r="I73" s="22">
        <f>IF(OR(A73="",B73=""),"",IF(B73="Activity",MAX(0,N(D73))*(MIN(100,MAX(0,N(E73)))/100)*(1+MAX(0,N(F73))+MAX(0,N(G73))),MAX(0,N(D73))*(MIN(100,MAX(0,N(E73)))/100)*H73))</f>
        <v/>
      </c>
    </row>
    <row r="74" ht="18" customHeight="1">
      <c r="A74" s="17" t="n"/>
      <c r="B74" s="17" t="n"/>
      <c r="C74" s="17" t="n"/>
      <c r="D74" s="19" t="n"/>
      <c r="E74" s="20" t="n"/>
      <c r="F74" s="19" t="n"/>
      <c r="G74" s="19" t="n"/>
      <c r="H74" s="7">
        <f>IF(B74="","",IFERROR(VLOOKUP(B74,Listas!$B$2:$C$13,2,0),1))</f>
        <v/>
      </c>
      <c r="I74" s="22">
        <f>IF(OR(A74="",B74=""),"",IF(B74="Activity",MAX(0,N(D74))*(MIN(100,MAX(0,N(E74)))/100)*(1+MAX(0,N(F74))+MAX(0,N(G74))),MAX(0,N(D74))*(MIN(100,MAX(0,N(E74)))/100)*H74))</f>
        <v/>
      </c>
    </row>
    <row r="75" ht="18" customHeight="1">
      <c r="A75" s="17" t="n"/>
      <c r="B75" s="17" t="n"/>
      <c r="C75" s="17" t="n"/>
      <c r="D75" s="19" t="n"/>
      <c r="E75" s="20" t="n"/>
      <c r="F75" s="19" t="n"/>
      <c r="G75" s="19" t="n"/>
      <c r="H75" s="7">
        <f>IF(B75="","",IFERROR(VLOOKUP(B75,Listas!$B$2:$C$13,2,0),1))</f>
        <v/>
      </c>
      <c r="I75" s="22">
        <f>IF(OR(A75="",B75=""),"",IF(B75="Activity",MAX(0,N(D75))*(MIN(100,MAX(0,N(E75)))/100)*(1+MAX(0,N(F75))+MAX(0,N(G75))),MAX(0,N(D75))*(MIN(100,MAX(0,N(E75)))/100)*H75))</f>
        <v/>
      </c>
    </row>
    <row r="76" ht="18" customHeight="1">
      <c r="A76" s="17" t="n"/>
      <c r="B76" s="17" t="n"/>
      <c r="C76" s="17" t="n"/>
      <c r="D76" s="19" t="n"/>
      <c r="E76" s="20" t="n"/>
      <c r="F76" s="19" t="n"/>
      <c r="G76" s="19" t="n"/>
      <c r="H76" s="7">
        <f>IF(B76="","",IFERROR(VLOOKUP(B76,Listas!$B$2:$C$13,2,0),1))</f>
        <v/>
      </c>
      <c r="I76" s="22">
        <f>IF(OR(A76="",B76=""),"",IF(B76="Activity",MAX(0,N(D76))*(MIN(100,MAX(0,N(E76)))/100)*(1+MAX(0,N(F76))+MAX(0,N(G76))),MAX(0,N(D76))*(MIN(100,MAX(0,N(E76)))/100)*H76))</f>
        <v/>
      </c>
    </row>
    <row r="77" ht="18" customHeight="1">
      <c r="A77" s="17" t="n"/>
      <c r="B77" s="17" t="n"/>
      <c r="C77" s="17" t="n"/>
      <c r="D77" s="19" t="n"/>
      <c r="E77" s="20" t="n"/>
      <c r="F77" s="19" t="n"/>
      <c r="G77" s="19" t="n"/>
      <c r="H77" s="7">
        <f>IF(B77="","",IFERROR(VLOOKUP(B77,Listas!$B$2:$C$13,2,0),1))</f>
        <v/>
      </c>
      <c r="I77" s="22">
        <f>IF(OR(A77="",B77=""),"",IF(B77="Activity",MAX(0,N(D77))*(MIN(100,MAX(0,N(E77)))/100)*(1+MAX(0,N(F77))+MAX(0,N(G77))),MAX(0,N(D77))*(MIN(100,MAX(0,N(E77)))/100)*H77))</f>
        <v/>
      </c>
    </row>
    <row r="78" ht="18" customHeight="1">
      <c r="A78" s="17" t="n"/>
      <c r="B78" s="17" t="n"/>
      <c r="C78" s="17" t="n"/>
      <c r="D78" s="19" t="n"/>
      <c r="E78" s="20" t="n"/>
      <c r="F78" s="19" t="n"/>
      <c r="G78" s="19" t="n"/>
      <c r="H78" s="7">
        <f>IF(B78="","",IFERROR(VLOOKUP(B78,Listas!$B$2:$C$13,2,0),1))</f>
        <v/>
      </c>
      <c r="I78" s="22">
        <f>IF(OR(A78="",B78=""),"",IF(B78="Activity",MAX(0,N(D78))*(MIN(100,MAX(0,N(E78)))/100)*(1+MAX(0,N(F78))+MAX(0,N(G78))),MAX(0,N(D78))*(MIN(100,MAX(0,N(E78)))/100)*H78))</f>
        <v/>
      </c>
    </row>
    <row r="79" ht="18" customHeight="1">
      <c r="A79" s="17" t="n"/>
      <c r="B79" s="17" t="n"/>
      <c r="C79" s="17" t="n"/>
      <c r="D79" s="19" t="n"/>
      <c r="E79" s="20" t="n"/>
      <c r="F79" s="19" t="n"/>
      <c r="G79" s="19" t="n"/>
      <c r="H79" s="7">
        <f>IF(B79="","",IFERROR(VLOOKUP(B79,Listas!$B$2:$C$13,2,0),1))</f>
        <v/>
      </c>
      <c r="I79" s="22">
        <f>IF(OR(A79="",B79=""),"",IF(B79="Activity",MAX(0,N(D79))*(MIN(100,MAX(0,N(E79)))/100)*(1+MAX(0,N(F79))+MAX(0,N(G79))),MAX(0,N(D79))*(MIN(100,MAX(0,N(E79)))/100)*H79))</f>
        <v/>
      </c>
    </row>
    <row r="80" ht="18" customHeight="1">
      <c r="A80" s="17" t="n"/>
      <c r="B80" s="17" t="n"/>
      <c r="C80" s="17" t="n"/>
      <c r="D80" s="19" t="n"/>
      <c r="E80" s="20" t="n"/>
      <c r="F80" s="19" t="n"/>
      <c r="G80" s="19" t="n"/>
      <c r="H80" s="7">
        <f>IF(B80="","",IFERROR(VLOOKUP(B80,Listas!$B$2:$C$13,2,0),1))</f>
        <v/>
      </c>
      <c r="I80" s="22">
        <f>IF(OR(A80="",B80=""),"",IF(B80="Activity",MAX(0,N(D80))*(MIN(100,MAX(0,N(E80)))/100)*(1+MAX(0,N(F80))+MAX(0,N(G80))),MAX(0,N(D80))*(MIN(100,MAX(0,N(E80)))/100)*H80))</f>
        <v/>
      </c>
    </row>
    <row r="81" ht="18" customHeight="1">
      <c r="A81" s="17" t="n"/>
      <c r="B81" s="17" t="n"/>
      <c r="C81" s="17" t="n"/>
      <c r="D81" s="19" t="n"/>
      <c r="E81" s="20" t="n"/>
      <c r="F81" s="19" t="n"/>
      <c r="G81" s="19" t="n"/>
      <c r="H81" s="7">
        <f>IF(B81="","",IFERROR(VLOOKUP(B81,Listas!$B$2:$C$13,2,0),1))</f>
        <v/>
      </c>
      <c r="I81" s="22">
        <f>IF(OR(A81="",B81=""),"",IF(B81="Activity",MAX(0,N(D81))*(MIN(100,MAX(0,N(E81)))/100)*(1+MAX(0,N(F81))+MAX(0,N(G81))),MAX(0,N(D81))*(MIN(100,MAX(0,N(E81)))/100)*H81))</f>
        <v/>
      </c>
    </row>
    <row r="82" ht="18" customHeight="1">
      <c r="A82" s="17" t="n"/>
      <c r="B82" s="17" t="n"/>
      <c r="C82" s="17" t="n"/>
      <c r="D82" s="19" t="n"/>
      <c r="E82" s="20" t="n"/>
      <c r="F82" s="19" t="n"/>
      <c r="G82" s="19" t="n"/>
      <c r="H82" s="7">
        <f>IF(B82="","",IFERROR(VLOOKUP(B82,Listas!$B$2:$C$13,2,0),1))</f>
        <v/>
      </c>
      <c r="I82" s="22">
        <f>IF(OR(A82="",B82=""),"",IF(B82="Activity",MAX(0,N(D82))*(MIN(100,MAX(0,N(E82)))/100)*(1+MAX(0,N(F82))+MAX(0,N(G82))),MAX(0,N(D82))*(MIN(100,MAX(0,N(E82)))/100)*H82))</f>
        <v/>
      </c>
    </row>
    <row r="83" ht="18" customHeight="1">
      <c r="A83" s="17" t="n"/>
      <c r="B83" s="17" t="n"/>
      <c r="C83" s="17" t="n"/>
      <c r="D83" s="19" t="n"/>
      <c r="E83" s="20" t="n"/>
      <c r="F83" s="19" t="n"/>
      <c r="G83" s="19" t="n"/>
      <c r="H83" s="7">
        <f>IF(B83="","",IFERROR(VLOOKUP(B83,Listas!$B$2:$C$13,2,0),1))</f>
        <v/>
      </c>
      <c r="I83" s="22">
        <f>IF(OR(A83="",B83=""),"",IF(B83="Activity",MAX(0,N(D83))*(MIN(100,MAX(0,N(E83)))/100)*(1+MAX(0,N(F83))+MAX(0,N(G83))),MAX(0,N(D83))*(MIN(100,MAX(0,N(E83)))/100)*H83))</f>
        <v/>
      </c>
    </row>
    <row r="84" ht="18" customHeight="1">
      <c r="A84" s="17" t="n"/>
      <c r="B84" s="17" t="n"/>
      <c r="C84" s="17" t="n"/>
      <c r="D84" s="19" t="n"/>
      <c r="E84" s="20" t="n"/>
      <c r="F84" s="19" t="n"/>
      <c r="G84" s="19" t="n"/>
      <c r="H84" s="7">
        <f>IF(B84="","",IFERROR(VLOOKUP(B84,Listas!$B$2:$C$13,2,0),1))</f>
        <v/>
      </c>
      <c r="I84" s="22">
        <f>IF(OR(A84="",B84=""),"",IF(B84="Activity",MAX(0,N(D84))*(MIN(100,MAX(0,N(E84)))/100)*(1+MAX(0,N(F84))+MAX(0,N(G84))),MAX(0,N(D84))*(MIN(100,MAX(0,N(E84)))/100)*H84))</f>
        <v/>
      </c>
    </row>
    <row r="85" ht="18" customHeight="1">
      <c r="A85" s="17" t="n"/>
      <c r="B85" s="17" t="n"/>
      <c r="C85" s="17" t="n"/>
      <c r="D85" s="19" t="n"/>
      <c r="E85" s="20" t="n"/>
      <c r="F85" s="19" t="n"/>
      <c r="G85" s="19" t="n"/>
      <c r="H85" s="7">
        <f>IF(B85="","",IFERROR(VLOOKUP(B85,Listas!$B$2:$C$13,2,0),1))</f>
        <v/>
      </c>
      <c r="I85" s="22">
        <f>IF(OR(A85="",B85=""),"",IF(B85="Activity",MAX(0,N(D85))*(MIN(100,MAX(0,N(E85)))/100)*(1+MAX(0,N(F85))+MAX(0,N(G85))),MAX(0,N(D85))*(MIN(100,MAX(0,N(E85)))/100)*H85))</f>
        <v/>
      </c>
    </row>
    <row r="86" ht="18" customHeight="1">
      <c r="A86" s="17" t="n"/>
      <c r="B86" s="17" t="n"/>
      <c r="C86" s="17" t="n"/>
      <c r="D86" s="19" t="n"/>
      <c r="E86" s="20" t="n"/>
      <c r="F86" s="19" t="n"/>
      <c r="G86" s="19" t="n"/>
      <c r="H86" s="7">
        <f>IF(B86="","",IFERROR(VLOOKUP(B86,Listas!$B$2:$C$13,2,0),1))</f>
        <v/>
      </c>
      <c r="I86" s="22">
        <f>IF(OR(A86="",B86=""),"",IF(B86="Activity",MAX(0,N(D86))*(MIN(100,MAX(0,N(E86)))/100)*(1+MAX(0,N(F86))+MAX(0,N(G86))),MAX(0,N(D86))*(MIN(100,MAX(0,N(E86)))/100)*H86))</f>
        <v/>
      </c>
    </row>
    <row r="87" ht="18" customHeight="1">
      <c r="A87" s="17" t="n"/>
      <c r="B87" s="17" t="n"/>
      <c r="C87" s="17" t="n"/>
      <c r="D87" s="19" t="n"/>
      <c r="E87" s="20" t="n"/>
      <c r="F87" s="19" t="n"/>
      <c r="G87" s="19" t="n"/>
      <c r="H87" s="7">
        <f>IF(B87="","",IFERROR(VLOOKUP(B87,Listas!$B$2:$C$13,2,0),1))</f>
        <v/>
      </c>
      <c r="I87" s="22">
        <f>IF(OR(A87="",B87=""),"",IF(B87="Activity",MAX(0,N(D87))*(MIN(100,MAX(0,N(E87)))/100)*(1+MAX(0,N(F87))+MAX(0,N(G87))),MAX(0,N(D87))*(MIN(100,MAX(0,N(E87)))/100)*H87))</f>
        <v/>
      </c>
    </row>
    <row r="88" ht="18" customHeight="1">
      <c r="A88" s="17" t="n"/>
      <c r="B88" s="17" t="n"/>
      <c r="C88" s="17" t="n"/>
      <c r="D88" s="19" t="n"/>
      <c r="E88" s="20" t="n"/>
      <c r="F88" s="19" t="n"/>
      <c r="G88" s="19" t="n"/>
      <c r="H88" s="7">
        <f>IF(B88="","",IFERROR(VLOOKUP(B88,Listas!$B$2:$C$13,2,0),1))</f>
        <v/>
      </c>
      <c r="I88" s="22">
        <f>IF(OR(A88="",B88=""),"",IF(B88="Activity",MAX(0,N(D88))*(MIN(100,MAX(0,N(E88)))/100)*(1+MAX(0,N(F88))+MAX(0,N(G88))),MAX(0,N(D88))*(MIN(100,MAX(0,N(E88)))/100)*H88))</f>
        <v/>
      </c>
    </row>
    <row r="89" ht="18" customHeight="1">
      <c r="A89" s="17" t="n"/>
      <c r="B89" s="17" t="n"/>
      <c r="C89" s="17" t="n"/>
      <c r="D89" s="19" t="n"/>
      <c r="E89" s="20" t="n"/>
      <c r="F89" s="19" t="n"/>
      <c r="G89" s="19" t="n"/>
      <c r="H89" s="7">
        <f>IF(B89="","",IFERROR(VLOOKUP(B89,Listas!$B$2:$C$13,2,0),1))</f>
        <v/>
      </c>
      <c r="I89" s="22">
        <f>IF(OR(A89="",B89=""),"",IF(B89="Activity",MAX(0,N(D89))*(MIN(100,MAX(0,N(E89)))/100)*(1+MAX(0,N(F89))+MAX(0,N(G89))),MAX(0,N(D89))*(MIN(100,MAX(0,N(E89)))/100)*H89))</f>
        <v/>
      </c>
    </row>
    <row r="90" ht="18" customHeight="1">
      <c r="A90" s="17" t="n"/>
      <c r="B90" s="17" t="n"/>
      <c r="C90" s="17" t="n"/>
      <c r="D90" s="19" t="n"/>
      <c r="E90" s="20" t="n"/>
      <c r="F90" s="19" t="n"/>
      <c r="G90" s="19" t="n"/>
      <c r="H90" s="7">
        <f>IF(B90="","",IFERROR(VLOOKUP(B90,Listas!$B$2:$C$13,2,0),1))</f>
        <v/>
      </c>
      <c r="I90" s="22">
        <f>IF(OR(A90="",B90=""),"",IF(B90="Activity",MAX(0,N(D90))*(MIN(100,MAX(0,N(E90)))/100)*(1+MAX(0,N(F90))+MAX(0,N(G90))),MAX(0,N(D90))*(MIN(100,MAX(0,N(E90)))/100)*H90))</f>
        <v/>
      </c>
    </row>
    <row r="91" ht="18" customHeight="1">
      <c r="A91" s="17" t="n"/>
      <c r="B91" s="17" t="n"/>
      <c r="C91" s="17" t="n"/>
      <c r="D91" s="19" t="n"/>
      <c r="E91" s="20" t="n"/>
      <c r="F91" s="19" t="n"/>
      <c r="G91" s="19" t="n"/>
      <c r="H91" s="7">
        <f>IF(B91="","",IFERROR(VLOOKUP(B91,Listas!$B$2:$C$13,2,0),1))</f>
        <v/>
      </c>
      <c r="I91" s="22">
        <f>IF(OR(A91="",B91=""),"",IF(B91="Activity",MAX(0,N(D91))*(MIN(100,MAX(0,N(E91)))/100)*(1+MAX(0,N(F91))+MAX(0,N(G91))),MAX(0,N(D91))*(MIN(100,MAX(0,N(E91)))/100)*H91))</f>
        <v/>
      </c>
    </row>
    <row r="92" ht="18" customHeight="1">
      <c r="A92" s="17" t="n"/>
      <c r="B92" s="17" t="n"/>
      <c r="C92" s="17" t="n"/>
      <c r="D92" s="19" t="n"/>
      <c r="E92" s="20" t="n"/>
      <c r="F92" s="19" t="n"/>
      <c r="G92" s="19" t="n"/>
      <c r="H92" s="7">
        <f>IF(B92="","",IFERROR(VLOOKUP(B92,Listas!$B$2:$C$13,2,0),1))</f>
        <v/>
      </c>
      <c r="I92" s="22">
        <f>IF(OR(A92="",B92=""),"",IF(B92="Activity",MAX(0,N(D92))*(MIN(100,MAX(0,N(E92)))/100)*(1+MAX(0,N(F92))+MAX(0,N(G92))),MAX(0,N(D92))*(MIN(100,MAX(0,N(E92)))/100)*H92))</f>
        <v/>
      </c>
    </row>
    <row r="93" ht="18" customHeight="1">
      <c r="A93" s="17" t="n"/>
      <c r="B93" s="17" t="n"/>
      <c r="C93" s="17" t="n"/>
      <c r="D93" s="19" t="n"/>
      <c r="E93" s="20" t="n"/>
      <c r="F93" s="19" t="n"/>
      <c r="G93" s="19" t="n"/>
      <c r="H93" s="7">
        <f>IF(B93="","",IFERROR(VLOOKUP(B93,Listas!$B$2:$C$13,2,0),1))</f>
        <v/>
      </c>
      <c r="I93" s="22">
        <f>IF(OR(A93="",B93=""),"",IF(B93="Activity",MAX(0,N(D93))*(MIN(100,MAX(0,N(E93)))/100)*(1+MAX(0,N(F93))+MAX(0,N(G93))),MAX(0,N(D93))*(MIN(100,MAX(0,N(E93)))/100)*H93))</f>
        <v/>
      </c>
    </row>
    <row r="94" ht="18" customHeight="1">
      <c r="A94" s="17" t="n"/>
      <c r="B94" s="17" t="n"/>
      <c r="C94" s="17" t="n"/>
      <c r="D94" s="19" t="n"/>
      <c r="E94" s="20" t="n"/>
      <c r="F94" s="19" t="n"/>
      <c r="G94" s="19" t="n"/>
      <c r="H94" s="7">
        <f>IF(B94="","",IFERROR(VLOOKUP(B94,Listas!$B$2:$C$13,2,0),1))</f>
        <v/>
      </c>
      <c r="I94" s="22">
        <f>IF(OR(A94="",B94=""),"",IF(B94="Activity",MAX(0,N(D94))*(MIN(100,MAX(0,N(E94)))/100)*(1+MAX(0,N(F94))+MAX(0,N(G94))),MAX(0,N(D94))*(MIN(100,MAX(0,N(E94)))/100)*H94))</f>
        <v/>
      </c>
    </row>
    <row r="95" ht="18" customHeight="1">
      <c r="A95" s="17" t="n"/>
      <c r="B95" s="17" t="n"/>
      <c r="C95" s="17" t="n"/>
      <c r="D95" s="19" t="n"/>
      <c r="E95" s="20" t="n"/>
      <c r="F95" s="19" t="n"/>
      <c r="G95" s="19" t="n"/>
      <c r="H95" s="7">
        <f>IF(B95="","",IFERROR(VLOOKUP(B95,Listas!$B$2:$C$13,2,0),1))</f>
        <v/>
      </c>
      <c r="I95" s="22">
        <f>IF(OR(A95="",B95=""),"",IF(B95="Activity",MAX(0,N(D95))*(MIN(100,MAX(0,N(E95)))/100)*(1+MAX(0,N(F95))+MAX(0,N(G95))),MAX(0,N(D95))*(MIN(100,MAX(0,N(E95)))/100)*H95))</f>
        <v/>
      </c>
    </row>
    <row r="96" ht="18" customHeight="1">
      <c r="A96" s="17" t="n"/>
      <c r="B96" s="17" t="n"/>
      <c r="C96" s="17" t="n"/>
      <c r="D96" s="19" t="n"/>
      <c r="E96" s="20" t="n"/>
      <c r="F96" s="19" t="n"/>
      <c r="G96" s="19" t="n"/>
      <c r="H96" s="7">
        <f>IF(B96="","",IFERROR(VLOOKUP(B96,Listas!$B$2:$C$13,2,0),1))</f>
        <v/>
      </c>
      <c r="I96" s="22">
        <f>IF(OR(A96="",B96=""),"",IF(B96="Activity",MAX(0,N(D96))*(MIN(100,MAX(0,N(E96)))/100)*(1+MAX(0,N(F96))+MAX(0,N(G96))),MAX(0,N(D96))*(MIN(100,MAX(0,N(E96)))/100)*H96))</f>
        <v/>
      </c>
    </row>
    <row r="97" ht="18" customHeight="1">
      <c r="A97" s="17" t="n"/>
      <c r="B97" s="17" t="n"/>
      <c r="C97" s="17" t="n"/>
      <c r="D97" s="19" t="n"/>
      <c r="E97" s="20" t="n"/>
      <c r="F97" s="19" t="n"/>
      <c r="G97" s="19" t="n"/>
      <c r="H97" s="7">
        <f>IF(B97="","",IFERROR(VLOOKUP(B97,Listas!$B$2:$C$13,2,0),1))</f>
        <v/>
      </c>
      <c r="I97" s="22">
        <f>IF(OR(A97="",B97=""),"",IF(B97="Activity",MAX(0,N(D97))*(MIN(100,MAX(0,N(E97)))/100)*(1+MAX(0,N(F97))+MAX(0,N(G97))),MAX(0,N(D97))*(MIN(100,MAX(0,N(E97)))/100)*H97))</f>
        <v/>
      </c>
    </row>
    <row r="98" ht="18" customHeight="1">
      <c r="A98" s="17" t="n"/>
      <c r="B98" s="17" t="n"/>
      <c r="C98" s="17" t="n"/>
      <c r="D98" s="19" t="n"/>
      <c r="E98" s="20" t="n"/>
      <c r="F98" s="19" t="n"/>
      <c r="G98" s="19" t="n"/>
      <c r="H98" s="7">
        <f>IF(B98="","",IFERROR(VLOOKUP(B98,Listas!$B$2:$C$13,2,0),1))</f>
        <v/>
      </c>
      <c r="I98" s="22">
        <f>IF(OR(A98="",B98=""),"",IF(B98="Activity",MAX(0,N(D98))*(MIN(100,MAX(0,N(E98)))/100)*(1+MAX(0,N(F98))+MAX(0,N(G98))),MAX(0,N(D98))*(MIN(100,MAX(0,N(E98)))/100)*H98))</f>
        <v/>
      </c>
    </row>
    <row r="99" ht="18" customHeight="1">
      <c r="A99" s="17" t="n"/>
      <c r="B99" s="17" t="n"/>
      <c r="C99" s="17" t="n"/>
      <c r="D99" s="19" t="n"/>
      <c r="E99" s="20" t="n"/>
      <c r="F99" s="19" t="n"/>
      <c r="G99" s="19" t="n"/>
      <c r="H99" s="7">
        <f>IF(B99="","",IFERROR(VLOOKUP(B99,Listas!$B$2:$C$13,2,0),1))</f>
        <v/>
      </c>
      <c r="I99" s="22">
        <f>IF(OR(A99="",B99=""),"",IF(B99="Activity",MAX(0,N(D99))*(MIN(100,MAX(0,N(E99)))/100)*(1+MAX(0,N(F99))+MAX(0,N(G99))),MAX(0,N(D99))*(MIN(100,MAX(0,N(E99)))/100)*H99))</f>
        <v/>
      </c>
    </row>
    <row r="100" ht="18" customHeight="1">
      <c r="A100" s="17" t="n"/>
      <c r="B100" s="17" t="n"/>
      <c r="C100" s="17" t="n"/>
      <c r="D100" s="19" t="n"/>
      <c r="E100" s="20" t="n"/>
      <c r="F100" s="19" t="n"/>
      <c r="G100" s="19" t="n"/>
      <c r="H100" s="7">
        <f>IF(B100="","",IFERROR(VLOOKUP(B100,Listas!$B$2:$C$13,2,0),1))</f>
        <v/>
      </c>
      <c r="I100" s="22">
        <f>IF(OR(A100="",B100=""),"",IF(B100="Activity",MAX(0,N(D100))*(MIN(100,MAX(0,N(E100)))/100)*(1+MAX(0,N(F100))+MAX(0,N(G100))),MAX(0,N(D100))*(MIN(100,MAX(0,N(E100)))/100)*H100))</f>
        <v/>
      </c>
    </row>
    <row r="101" ht="18" customHeight="1">
      <c r="A101" s="17" t="n"/>
      <c r="B101" s="17" t="n"/>
      <c r="C101" s="17" t="n"/>
      <c r="D101" s="19" t="n"/>
      <c r="E101" s="20" t="n"/>
      <c r="F101" s="19" t="n"/>
      <c r="G101" s="19" t="n"/>
      <c r="H101" s="7">
        <f>IF(B101="","",IFERROR(VLOOKUP(B101,Listas!$B$2:$C$13,2,0),1))</f>
        <v/>
      </c>
      <c r="I101" s="22">
        <f>IF(OR(A101="",B101=""),"",IF(B101="Activity",MAX(0,N(D101))*(MIN(100,MAX(0,N(E101)))/100)*(1+MAX(0,N(F101))+MAX(0,N(G101))),MAX(0,N(D101))*(MIN(100,MAX(0,N(E101)))/100)*H101))</f>
        <v/>
      </c>
    </row>
    <row r="102" ht="18" customHeight="1">
      <c r="A102" s="17" t="n"/>
      <c r="B102" s="17" t="n"/>
      <c r="C102" s="17" t="n"/>
      <c r="D102" s="19" t="n"/>
      <c r="E102" s="20" t="n"/>
      <c r="F102" s="19" t="n"/>
      <c r="G102" s="19" t="n"/>
      <c r="H102" s="7">
        <f>IF(B102="","",IFERROR(VLOOKUP(B102,Listas!$B$2:$C$13,2,0),1))</f>
        <v/>
      </c>
      <c r="I102" s="22">
        <f>IF(OR(A102="",B102=""),"",IF(B102="Activity",MAX(0,N(D102))*(MIN(100,MAX(0,N(E102)))/100)*(1+MAX(0,N(F102))+MAX(0,N(G102))),MAX(0,N(D102))*(MIN(100,MAX(0,N(E102)))/100)*H102))</f>
        <v/>
      </c>
    </row>
    <row r="103" ht="18" customHeight="1">
      <c r="A103" s="17" t="n"/>
      <c r="B103" s="17" t="n"/>
      <c r="C103" s="17" t="n"/>
      <c r="D103" s="19" t="n"/>
      <c r="E103" s="20" t="n"/>
      <c r="F103" s="19" t="n"/>
      <c r="G103" s="19" t="n"/>
      <c r="H103" s="7">
        <f>IF(B103="","",IFERROR(VLOOKUP(B103,Listas!$B$2:$C$13,2,0),1))</f>
        <v/>
      </c>
      <c r="I103" s="22">
        <f>IF(OR(A103="",B103=""),"",IF(B103="Activity",MAX(0,N(D103))*(MIN(100,MAX(0,N(E103)))/100)*(1+MAX(0,N(F103))+MAX(0,N(G103))),MAX(0,N(D103))*(MIN(100,MAX(0,N(E103)))/100)*H103))</f>
        <v/>
      </c>
    </row>
    <row r="104" ht="18" customHeight="1">
      <c r="A104" s="17" t="n"/>
      <c r="B104" s="17" t="n"/>
      <c r="C104" s="17" t="n"/>
      <c r="D104" s="19" t="n"/>
      <c r="E104" s="20" t="n"/>
      <c r="F104" s="19" t="n"/>
      <c r="G104" s="19" t="n"/>
      <c r="H104" s="7">
        <f>IF(B104="","",IFERROR(VLOOKUP(B104,Listas!$B$2:$C$13,2,0),1))</f>
        <v/>
      </c>
      <c r="I104" s="22">
        <f>IF(OR(A104="",B104=""),"",IF(B104="Activity",MAX(0,N(D104))*(MIN(100,MAX(0,N(E104)))/100)*(1+MAX(0,N(F104))+MAX(0,N(G104))),MAX(0,N(D104))*(MIN(100,MAX(0,N(E104)))/100)*H104))</f>
        <v/>
      </c>
    </row>
    <row r="105" ht="18" customHeight="1">
      <c r="A105" s="17" t="n"/>
      <c r="B105" s="17" t="n"/>
      <c r="C105" s="17" t="n"/>
      <c r="D105" s="19" t="n"/>
      <c r="E105" s="20" t="n"/>
      <c r="F105" s="19" t="n"/>
      <c r="G105" s="19" t="n"/>
      <c r="H105" s="7">
        <f>IF(B105="","",IFERROR(VLOOKUP(B105,Listas!$B$2:$C$13,2,0),1))</f>
        <v/>
      </c>
      <c r="I105" s="22">
        <f>IF(OR(A105="",B105=""),"",IF(B105="Activity",MAX(0,N(D105))*(MIN(100,MAX(0,N(E105)))/100)*(1+MAX(0,N(F105))+MAX(0,N(G105))),MAX(0,N(D105))*(MIN(100,MAX(0,N(E105)))/100)*H105))</f>
        <v/>
      </c>
    </row>
    <row r="106" ht="18" customHeight="1">
      <c r="A106" s="17" t="n"/>
      <c r="B106" s="17" t="n"/>
      <c r="C106" s="17" t="n"/>
      <c r="D106" s="19" t="n"/>
      <c r="E106" s="20" t="n"/>
      <c r="F106" s="19" t="n"/>
      <c r="G106" s="19" t="n"/>
      <c r="H106" s="7">
        <f>IF(B106="","",IFERROR(VLOOKUP(B106,Listas!$B$2:$C$13,2,0),1))</f>
        <v/>
      </c>
      <c r="I106" s="22">
        <f>IF(OR(A106="",B106=""),"",IF(B106="Activity",MAX(0,N(D106))*(MIN(100,MAX(0,N(E106)))/100)*(1+MAX(0,N(F106))+MAX(0,N(G106))),MAX(0,N(D106))*(MIN(100,MAX(0,N(E106)))/100)*H106))</f>
        <v/>
      </c>
    </row>
    <row r="107" ht="18" customHeight="1">
      <c r="A107" s="17" t="n"/>
      <c r="B107" s="17" t="n"/>
      <c r="C107" s="17" t="n"/>
      <c r="D107" s="19" t="n"/>
      <c r="E107" s="20" t="n"/>
      <c r="F107" s="19" t="n"/>
      <c r="G107" s="19" t="n"/>
      <c r="H107" s="7">
        <f>IF(B107="","",IFERROR(VLOOKUP(B107,Listas!$B$2:$C$13,2,0),1))</f>
        <v/>
      </c>
      <c r="I107" s="22">
        <f>IF(OR(A107="",B107=""),"",IF(B107="Activity",MAX(0,N(D107))*(MIN(100,MAX(0,N(E107)))/100)*(1+MAX(0,N(F107))+MAX(0,N(G107))),MAX(0,N(D107))*(MIN(100,MAX(0,N(E107)))/100)*H107))</f>
        <v/>
      </c>
    </row>
    <row r="108" ht="18" customHeight="1">
      <c r="A108" s="17" t="n"/>
      <c r="B108" s="17" t="n"/>
      <c r="C108" s="17" t="n"/>
      <c r="D108" s="19" t="n"/>
      <c r="E108" s="20" t="n"/>
      <c r="F108" s="19" t="n"/>
      <c r="G108" s="19" t="n"/>
      <c r="H108" s="7">
        <f>IF(B108="","",IFERROR(VLOOKUP(B108,Listas!$B$2:$C$13,2,0),1))</f>
        <v/>
      </c>
      <c r="I108" s="22">
        <f>IF(OR(A108="",B108=""),"",IF(B108="Activity",MAX(0,N(D108))*(MIN(100,MAX(0,N(E108)))/100)*(1+MAX(0,N(F108))+MAX(0,N(G108))),MAX(0,N(D108))*(MIN(100,MAX(0,N(E108)))/100)*H108))</f>
        <v/>
      </c>
    </row>
    <row r="109" ht="18" customHeight="1">
      <c r="A109" s="17" t="n"/>
      <c r="B109" s="17" t="n"/>
      <c r="C109" s="17" t="n"/>
      <c r="D109" s="19" t="n"/>
      <c r="E109" s="20" t="n"/>
      <c r="F109" s="19" t="n"/>
      <c r="G109" s="19" t="n"/>
      <c r="H109" s="7">
        <f>IF(B109="","",IFERROR(VLOOKUP(B109,Listas!$B$2:$C$13,2,0),1))</f>
        <v/>
      </c>
      <c r="I109" s="22">
        <f>IF(OR(A109="",B109=""),"",IF(B109="Activity",MAX(0,N(D109))*(MIN(100,MAX(0,N(E109)))/100)*(1+MAX(0,N(F109))+MAX(0,N(G109))),MAX(0,N(D109))*(MIN(100,MAX(0,N(E109)))/100)*H109))</f>
        <v/>
      </c>
    </row>
    <row r="110" ht="18" customHeight="1">
      <c r="A110" s="17" t="n"/>
      <c r="B110" s="17" t="n"/>
      <c r="C110" s="17" t="n"/>
      <c r="D110" s="19" t="n"/>
      <c r="E110" s="20" t="n"/>
      <c r="F110" s="19" t="n"/>
      <c r="G110" s="19" t="n"/>
      <c r="H110" s="7">
        <f>IF(B110="","",IFERROR(VLOOKUP(B110,Listas!$B$2:$C$13,2,0),1))</f>
        <v/>
      </c>
      <c r="I110" s="22">
        <f>IF(OR(A110="",B110=""),"",IF(B110="Activity",MAX(0,N(D110))*(MIN(100,MAX(0,N(E110)))/100)*(1+MAX(0,N(F110))+MAX(0,N(G110))),MAX(0,N(D110))*(MIN(100,MAX(0,N(E110)))/100)*H110))</f>
        <v/>
      </c>
    </row>
    <row r="111" ht="18" customHeight="1">
      <c r="A111" s="17" t="n"/>
      <c r="B111" s="17" t="n"/>
      <c r="C111" s="17" t="n"/>
      <c r="D111" s="19" t="n"/>
      <c r="E111" s="20" t="n"/>
      <c r="F111" s="19" t="n"/>
      <c r="G111" s="19" t="n"/>
      <c r="H111" s="7">
        <f>IF(B111="","",IFERROR(VLOOKUP(B111,Listas!$B$2:$C$13,2,0),1))</f>
        <v/>
      </c>
      <c r="I111" s="22">
        <f>IF(OR(A111="",B111=""),"",IF(B111="Activity",MAX(0,N(D111))*(MIN(100,MAX(0,N(E111)))/100)*(1+MAX(0,N(F111))+MAX(0,N(G111))),MAX(0,N(D111))*(MIN(100,MAX(0,N(E111)))/100)*H111))</f>
        <v/>
      </c>
    </row>
    <row r="112" ht="18" customHeight="1">
      <c r="A112" s="17" t="n"/>
      <c r="B112" s="17" t="n"/>
      <c r="C112" s="17" t="n"/>
      <c r="D112" s="19" t="n"/>
      <c r="E112" s="20" t="n"/>
      <c r="F112" s="19" t="n"/>
      <c r="G112" s="19" t="n"/>
      <c r="H112" s="7">
        <f>IF(B112="","",IFERROR(VLOOKUP(B112,Listas!$B$2:$C$13,2,0),1))</f>
        <v/>
      </c>
      <c r="I112" s="22">
        <f>IF(OR(A112="",B112=""),"",IF(B112="Activity",MAX(0,N(D112))*(MIN(100,MAX(0,N(E112)))/100)*(1+MAX(0,N(F112))+MAX(0,N(G112))),MAX(0,N(D112))*(MIN(100,MAX(0,N(E112)))/100)*H112))</f>
        <v/>
      </c>
    </row>
    <row r="113" ht="18" customHeight="1">
      <c r="A113" s="17" t="n"/>
      <c r="B113" s="17" t="n"/>
      <c r="C113" s="17" t="n"/>
      <c r="D113" s="19" t="n"/>
      <c r="E113" s="20" t="n"/>
      <c r="F113" s="19" t="n"/>
      <c r="G113" s="19" t="n"/>
      <c r="H113" s="7">
        <f>IF(B113="","",IFERROR(VLOOKUP(B113,Listas!$B$2:$C$13,2,0),1))</f>
        <v/>
      </c>
      <c r="I113" s="22">
        <f>IF(OR(A113="",B113=""),"",IF(B113="Activity",MAX(0,N(D113))*(MIN(100,MAX(0,N(E113)))/100)*(1+MAX(0,N(F113))+MAX(0,N(G113))),MAX(0,N(D113))*(MIN(100,MAX(0,N(E113)))/100)*H113))</f>
        <v/>
      </c>
    </row>
    <row r="114" ht="18" customHeight="1">
      <c r="A114" s="17" t="n"/>
      <c r="B114" s="17" t="n"/>
      <c r="C114" s="17" t="n"/>
      <c r="D114" s="19" t="n"/>
      <c r="E114" s="20" t="n"/>
      <c r="F114" s="19" t="n"/>
      <c r="G114" s="19" t="n"/>
      <c r="H114" s="7">
        <f>IF(B114="","",IFERROR(VLOOKUP(B114,Listas!$B$2:$C$13,2,0),1))</f>
        <v/>
      </c>
      <c r="I114" s="22">
        <f>IF(OR(A114="",B114=""),"",IF(B114="Activity",MAX(0,N(D114))*(MIN(100,MAX(0,N(E114)))/100)*(1+MAX(0,N(F114))+MAX(0,N(G114))),MAX(0,N(D114))*(MIN(100,MAX(0,N(E114)))/100)*H114))</f>
        <v/>
      </c>
    </row>
    <row r="115" ht="18" customHeight="1">
      <c r="A115" s="17" t="n"/>
      <c r="B115" s="17" t="n"/>
      <c r="C115" s="17" t="n"/>
      <c r="D115" s="19" t="n"/>
      <c r="E115" s="20" t="n"/>
      <c r="F115" s="19" t="n"/>
      <c r="G115" s="19" t="n"/>
      <c r="H115" s="7">
        <f>IF(B115="","",IFERROR(VLOOKUP(B115,Listas!$B$2:$C$13,2,0),1))</f>
        <v/>
      </c>
      <c r="I115" s="22">
        <f>IF(OR(A115="",B115=""),"",IF(B115="Activity",MAX(0,N(D115))*(MIN(100,MAX(0,N(E115)))/100)*(1+MAX(0,N(F115))+MAX(0,N(G115))),MAX(0,N(D115))*(MIN(100,MAX(0,N(E115)))/100)*H115))</f>
        <v/>
      </c>
    </row>
    <row r="116" ht="18" customHeight="1">
      <c r="A116" s="17" t="n"/>
      <c r="B116" s="17" t="n"/>
      <c r="C116" s="17" t="n"/>
      <c r="D116" s="19" t="n"/>
      <c r="E116" s="20" t="n"/>
      <c r="F116" s="19" t="n"/>
      <c r="G116" s="19" t="n"/>
      <c r="H116" s="7">
        <f>IF(B116="","",IFERROR(VLOOKUP(B116,Listas!$B$2:$C$13,2,0),1))</f>
        <v/>
      </c>
      <c r="I116" s="22">
        <f>IF(OR(A116="",B116=""),"",IF(B116="Activity",MAX(0,N(D116))*(MIN(100,MAX(0,N(E116)))/100)*(1+MAX(0,N(F116))+MAX(0,N(G116))),MAX(0,N(D116))*(MIN(100,MAX(0,N(E116)))/100)*H116))</f>
        <v/>
      </c>
    </row>
    <row r="117" ht="18" customHeight="1">
      <c r="A117" s="17" t="n"/>
      <c r="B117" s="17" t="n"/>
      <c r="C117" s="17" t="n"/>
      <c r="D117" s="19" t="n"/>
      <c r="E117" s="20" t="n"/>
      <c r="F117" s="19" t="n"/>
      <c r="G117" s="19" t="n"/>
      <c r="H117" s="7">
        <f>IF(B117="","",IFERROR(VLOOKUP(B117,Listas!$B$2:$C$13,2,0),1))</f>
        <v/>
      </c>
      <c r="I117" s="22">
        <f>IF(OR(A117="",B117=""),"",IF(B117="Activity",MAX(0,N(D117))*(MIN(100,MAX(0,N(E117)))/100)*(1+MAX(0,N(F117))+MAX(0,N(G117))),MAX(0,N(D117))*(MIN(100,MAX(0,N(E117)))/100)*H117))</f>
        <v/>
      </c>
    </row>
    <row r="118" ht="18" customHeight="1">
      <c r="A118" s="17" t="n"/>
      <c r="B118" s="17" t="n"/>
      <c r="C118" s="17" t="n"/>
      <c r="D118" s="19" t="n"/>
      <c r="E118" s="20" t="n"/>
      <c r="F118" s="19" t="n"/>
      <c r="G118" s="19" t="n"/>
      <c r="H118" s="7">
        <f>IF(B118="","",IFERROR(VLOOKUP(B118,Listas!$B$2:$C$13,2,0),1))</f>
        <v/>
      </c>
      <c r="I118" s="22">
        <f>IF(OR(A118="",B118=""),"",IF(B118="Activity",MAX(0,N(D118))*(MIN(100,MAX(0,N(E118)))/100)*(1+MAX(0,N(F118))+MAX(0,N(G118))),MAX(0,N(D118))*(MIN(100,MAX(0,N(E118)))/100)*H118))</f>
        <v/>
      </c>
    </row>
    <row r="119" ht="18" customHeight="1">
      <c r="A119" s="17" t="n"/>
      <c r="B119" s="17" t="n"/>
      <c r="C119" s="17" t="n"/>
      <c r="D119" s="19" t="n"/>
      <c r="E119" s="20" t="n"/>
      <c r="F119" s="19" t="n"/>
      <c r="G119" s="19" t="n"/>
      <c r="H119" s="7">
        <f>IF(B119="","",IFERROR(VLOOKUP(B119,Listas!$B$2:$C$13,2,0),1))</f>
        <v/>
      </c>
      <c r="I119" s="22">
        <f>IF(OR(A119="",B119=""),"",IF(B119="Activity",MAX(0,N(D119))*(MIN(100,MAX(0,N(E119)))/100)*(1+MAX(0,N(F119))+MAX(0,N(G119))),MAX(0,N(D119))*(MIN(100,MAX(0,N(E119)))/100)*H119))</f>
        <v/>
      </c>
    </row>
    <row r="120" ht="18" customHeight="1">
      <c r="A120" s="17" t="n"/>
      <c r="B120" s="17" t="n"/>
      <c r="C120" s="17" t="n"/>
      <c r="D120" s="19" t="n"/>
      <c r="E120" s="20" t="n"/>
      <c r="F120" s="19" t="n"/>
      <c r="G120" s="19" t="n"/>
      <c r="H120" s="7">
        <f>IF(B120="","",IFERROR(VLOOKUP(B120,Listas!$B$2:$C$13,2,0),1))</f>
        <v/>
      </c>
      <c r="I120" s="22">
        <f>IF(OR(A120="",B120=""),"",IF(B120="Activity",MAX(0,N(D120))*(MIN(100,MAX(0,N(E120)))/100)*(1+MAX(0,N(F120))+MAX(0,N(G120))),MAX(0,N(D120))*(MIN(100,MAX(0,N(E120)))/100)*H120))</f>
        <v/>
      </c>
    </row>
    <row r="121" ht="18" customHeight="1">
      <c r="A121" s="17" t="n"/>
      <c r="B121" s="17" t="n"/>
      <c r="C121" s="17" t="n"/>
      <c r="D121" s="19" t="n"/>
      <c r="E121" s="20" t="n"/>
      <c r="F121" s="19" t="n"/>
      <c r="G121" s="19" t="n"/>
      <c r="H121" s="7">
        <f>IF(B121="","",IFERROR(VLOOKUP(B121,Listas!$B$2:$C$13,2,0),1))</f>
        <v/>
      </c>
      <c r="I121" s="22">
        <f>IF(OR(A121="",B121=""),"",IF(B121="Activity",MAX(0,N(D121))*(MIN(100,MAX(0,N(E121)))/100)*(1+MAX(0,N(F121))+MAX(0,N(G121))),MAX(0,N(D121))*(MIN(100,MAX(0,N(E121)))/100)*H121))</f>
        <v/>
      </c>
    </row>
    <row r="122" ht="18" customHeight="1">
      <c r="A122" s="17" t="n"/>
      <c r="B122" s="17" t="n"/>
      <c r="C122" s="17" t="n"/>
      <c r="D122" s="19" t="n"/>
      <c r="E122" s="20" t="n"/>
      <c r="F122" s="19" t="n"/>
      <c r="G122" s="19" t="n"/>
      <c r="H122" s="7">
        <f>IF(B122="","",IFERROR(VLOOKUP(B122,Listas!$B$2:$C$13,2,0),1))</f>
        <v/>
      </c>
      <c r="I122" s="22">
        <f>IF(OR(A122="",B122=""),"",IF(B122="Activity",MAX(0,N(D122))*(MIN(100,MAX(0,N(E122)))/100)*(1+MAX(0,N(F122))+MAX(0,N(G122))),MAX(0,N(D122))*(MIN(100,MAX(0,N(E122)))/100)*H122))</f>
        <v/>
      </c>
    </row>
    <row r="123" ht="18" customHeight="1">
      <c r="A123" s="17" t="n"/>
      <c r="B123" s="17" t="n"/>
      <c r="C123" s="17" t="n"/>
      <c r="D123" s="19" t="n"/>
      <c r="E123" s="20" t="n"/>
      <c r="F123" s="19" t="n"/>
      <c r="G123" s="19" t="n"/>
      <c r="H123" s="7">
        <f>IF(B123="","",IFERROR(VLOOKUP(B123,Listas!$B$2:$C$13,2,0),1))</f>
        <v/>
      </c>
      <c r="I123" s="22">
        <f>IF(OR(A123="",B123=""),"",IF(B123="Activity",MAX(0,N(D123))*(MIN(100,MAX(0,N(E123)))/100)*(1+MAX(0,N(F123))+MAX(0,N(G123))),MAX(0,N(D123))*(MIN(100,MAX(0,N(E123)))/100)*H123))</f>
        <v/>
      </c>
    </row>
    <row r="124" ht="18" customHeight="1">
      <c r="A124" s="17" t="n"/>
      <c r="B124" s="17" t="n"/>
      <c r="C124" s="17" t="n"/>
      <c r="D124" s="19" t="n"/>
      <c r="E124" s="20" t="n"/>
      <c r="F124" s="19" t="n"/>
      <c r="G124" s="19" t="n"/>
      <c r="H124" s="7">
        <f>IF(B124="","",IFERROR(VLOOKUP(B124,Listas!$B$2:$C$13,2,0),1))</f>
        <v/>
      </c>
      <c r="I124" s="22">
        <f>IF(OR(A124="",B124=""),"",IF(B124="Activity",MAX(0,N(D124))*(MIN(100,MAX(0,N(E124)))/100)*(1+MAX(0,N(F124))+MAX(0,N(G124))),MAX(0,N(D124))*(MIN(100,MAX(0,N(E124)))/100)*H124))</f>
        <v/>
      </c>
    </row>
    <row r="125" ht="18" customHeight="1">
      <c r="A125" s="17" t="n"/>
      <c r="B125" s="17" t="n"/>
      <c r="C125" s="17" t="n"/>
      <c r="D125" s="19" t="n"/>
      <c r="E125" s="20" t="n"/>
      <c r="F125" s="19" t="n"/>
      <c r="G125" s="19" t="n"/>
      <c r="H125" s="7">
        <f>IF(B125="","",IFERROR(VLOOKUP(B125,Listas!$B$2:$C$13,2,0),1))</f>
        <v/>
      </c>
      <c r="I125" s="22">
        <f>IF(OR(A125="",B125=""),"",IF(B125="Activity",MAX(0,N(D125))*(MIN(100,MAX(0,N(E125)))/100)*(1+MAX(0,N(F125))+MAX(0,N(G125))),MAX(0,N(D125))*(MIN(100,MAX(0,N(E125)))/100)*H125))</f>
        <v/>
      </c>
    </row>
    <row r="126" ht="18" customHeight="1">
      <c r="A126" s="17" t="n"/>
      <c r="B126" s="17" t="n"/>
      <c r="C126" s="17" t="n"/>
      <c r="D126" s="19" t="n"/>
      <c r="E126" s="20" t="n"/>
      <c r="F126" s="19" t="n"/>
      <c r="G126" s="19" t="n"/>
      <c r="H126" s="7">
        <f>IF(B126="","",IFERROR(VLOOKUP(B126,Listas!$B$2:$C$13,2,0),1))</f>
        <v/>
      </c>
      <c r="I126" s="22">
        <f>IF(OR(A126="",B126=""),"",IF(B126="Activity",MAX(0,N(D126))*(MIN(100,MAX(0,N(E126)))/100)*(1+MAX(0,N(F126))+MAX(0,N(G126))),MAX(0,N(D126))*(MIN(100,MAX(0,N(E126)))/100)*H126))</f>
        <v/>
      </c>
    </row>
    <row r="127" ht="18" customHeight="1">
      <c r="A127" s="17" t="n"/>
      <c r="B127" s="17" t="n"/>
      <c r="C127" s="17" t="n"/>
      <c r="D127" s="19" t="n"/>
      <c r="E127" s="20" t="n"/>
      <c r="F127" s="19" t="n"/>
      <c r="G127" s="19" t="n"/>
      <c r="H127" s="7">
        <f>IF(B127="","",IFERROR(VLOOKUP(B127,Listas!$B$2:$C$13,2,0),1))</f>
        <v/>
      </c>
      <c r="I127" s="22">
        <f>IF(OR(A127="",B127=""),"",IF(B127="Activity",MAX(0,N(D127))*(MIN(100,MAX(0,N(E127)))/100)*(1+MAX(0,N(F127))+MAX(0,N(G127))),MAX(0,N(D127))*(MIN(100,MAX(0,N(E127)))/100)*H127))</f>
        <v/>
      </c>
    </row>
    <row r="128" ht="18" customHeight="1">
      <c r="A128" s="17" t="n"/>
      <c r="B128" s="17" t="n"/>
      <c r="C128" s="17" t="n"/>
      <c r="D128" s="19" t="n"/>
      <c r="E128" s="20" t="n"/>
      <c r="F128" s="19" t="n"/>
      <c r="G128" s="19" t="n"/>
      <c r="H128" s="7">
        <f>IF(B128="","",IFERROR(VLOOKUP(B128,Listas!$B$2:$C$13,2,0),1))</f>
        <v/>
      </c>
      <c r="I128" s="22">
        <f>IF(OR(A128="",B128=""),"",IF(B128="Activity",MAX(0,N(D128))*(MIN(100,MAX(0,N(E128)))/100)*(1+MAX(0,N(F128))+MAX(0,N(G128))),MAX(0,N(D128))*(MIN(100,MAX(0,N(E128)))/100)*H128))</f>
        <v/>
      </c>
    </row>
    <row r="129" ht="18" customHeight="1">
      <c r="A129" s="17" t="n"/>
      <c r="B129" s="17" t="n"/>
      <c r="C129" s="17" t="n"/>
      <c r="D129" s="19" t="n"/>
      <c r="E129" s="20" t="n"/>
      <c r="F129" s="19" t="n"/>
      <c r="G129" s="19" t="n"/>
      <c r="H129" s="7">
        <f>IF(B129="","",IFERROR(VLOOKUP(B129,Listas!$B$2:$C$13,2,0),1))</f>
        <v/>
      </c>
      <c r="I129" s="22">
        <f>IF(OR(A129="",B129=""),"",IF(B129="Activity",MAX(0,N(D129))*(MIN(100,MAX(0,N(E129)))/100)*(1+MAX(0,N(F129))+MAX(0,N(G129))),MAX(0,N(D129))*(MIN(100,MAX(0,N(E129)))/100)*H129))</f>
        <v/>
      </c>
    </row>
    <row r="130" ht="18" customHeight="1">
      <c r="A130" s="17" t="n"/>
      <c r="B130" s="17" t="n"/>
      <c r="C130" s="17" t="n"/>
      <c r="D130" s="19" t="n"/>
      <c r="E130" s="20" t="n"/>
      <c r="F130" s="19" t="n"/>
      <c r="G130" s="19" t="n"/>
      <c r="H130" s="7">
        <f>IF(B130="","",IFERROR(VLOOKUP(B130,Listas!$B$2:$C$13,2,0),1))</f>
        <v/>
      </c>
      <c r="I130" s="22">
        <f>IF(OR(A130="",B130=""),"",IF(B130="Activity",MAX(0,N(D130))*(MIN(100,MAX(0,N(E130)))/100)*(1+MAX(0,N(F130))+MAX(0,N(G130))),MAX(0,N(D130))*(MIN(100,MAX(0,N(E130)))/100)*H130))</f>
        <v/>
      </c>
    </row>
    <row r="131" ht="18" customHeight="1">
      <c r="A131" s="17" t="n"/>
      <c r="B131" s="17" t="n"/>
      <c r="C131" s="17" t="n"/>
      <c r="D131" s="19" t="n"/>
      <c r="E131" s="20" t="n"/>
      <c r="F131" s="19" t="n"/>
      <c r="G131" s="19" t="n"/>
      <c r="H131" s="7">
        <f>IF(B131="","",IFERROR(VLOOKUP(B131,Listas!$B$2:$C$13,2,0),1))</f>
        <v/>
      </c>
      <c r="I131" s="22">
        <f>IF(OR(A131="",B131=""),"",IF(B131="Activity",MAX(0,N(D131))*(MIN(100,MAX(0,N(E131)))/100)*(1+MAX(0,N(F131))+MAX(0,N(G131))),MAX(0,N(D131))*(MIN(100,MAX(0,N(E131)))/100)*H131))</f>
        <v/>
      </c>
    </row>
    <row r="132" ht="18" customHeight="1">
      <c r="A132" s="17" t="n"/>
      <c r="B132" s="17" t="n"/>
      <c r="C132" s="17" t="n"/>
      <c r="D132" s="19" t="n"/>
      <c r="E132" s="20" t="n"/>
      <c r="F132" s="19" t="n"/>
      <c r="G132" s="19" t="n"/>
      <c r="H132" s="7">
        <f>IF(B132="","",IFERROR(VLOOKUP(B132,Listas!$B$2:$C$13,2,0),1))</f>
        <v/>
      </c>
      <c r="I132" s="22">
        <f>IF(OR(A132="",B132=""),"",IF(B132="Activity",MAX(0,N(D132))*(MIN(100,MAX(0,N(E132)))/100)*(1+MAX(0,N(F132))+MAX(0,N(G132))),MAX(0,N(D132))*(MIN(100,MAX(0,N(E132)))/100)*H132))</f>
        <v/>
      </c>
    </row>
    <row r="133" ht="18" customHeight="1">
      <c r="A133" s="17" t="n"/>
      <c r="B133" s="17" t="n"/>
      <c r="C133" s="17" t="n"/>
      <c r="D133" s="19" t="n"/>
      <c r="E133" s="20" t="n"/>
      <c r="F133" s="19" t="n"/>
      <c r="G133" s="19" t="n"/>
      <c r="H133" s="7">
        <f>IF(B133="","",IFERROR(VLOOKUP(B133,Listas!$B$2:$C$13,2,0),1))</f>
        <v/>
      </c>
      <c r="I133" s="22">
        <f>IF(OR(A133="",B133=""),"",IF(B133="Activity",MAX(0,N(D133))*(MIN(100,MAX(0,N(E133)))/100)*(1+MAX(0,N(F133))+MAX(0,N(G133))),MAX(0,N(D133))*(MIN(100,MAX(0,N(E133)))/100)*H133))</f>
        <v/>
      </c>
    </row>
    <row r="134" ht="18" customHeight="1">
      <c r="A134" s="17" t="n"/>
      <c r="B134" s="17" t="n"/>
      <c r="C134" s="17" t="n"/>
      <c r="D134" s="19" t="n"/>
      <c r="E134" s="20" t="n"/>
      <c r="F134" s="19" t="n"/>
      <c r="G134" s="19" t="n"/>
      <c r="H134" s="7">
        <f>IF(B134="","",IFERROR(VLOOKUP(B134,Listas!$B$2:$C$13,2,0),1))</f>
        <v/>
      </c>
      <c r="I134" s="22">
        <f>IF(OR(A134="",B134=""),"",IF(B134="Activity",MAX(0,N(D134))*(MIN(100,MAX(0,N(E134)))/100)*(1+MAX(0,N(F134))+MAX(0,N(G134))),MAX(0,N(D134))*(MIN(100,MAX(0,N(E134)))/100)*H134))</f>
        <v/>
      </c>
    </row>
    <row r="135" ht="18" customHeight="1">
      <c r="A135" s="17" t="n"/>
      <c r="B135" s="17" t="n"/>
      <c r="C135" s="17" t="n"/>
      <c r="D135" s="19" t="n"/>
      <c r="E135" s="20" t="n"/>
      <c r="F135" s="19" t="n"/>
      <c r="G135" s="19" t="n"/>
      <c r="H135" s="7">
        <f>IF(B135="","",IFERROR(VLOOKUP(B135,Listas!$B$2:$C$13,2,0),1))</f>
        <v/>
      </c>
      <c r="I135" s="22">
        <f>IF(OR(A135="",B135=""),"",IF(B135="Activity",MAX(0,N(D135))*(MIN(100,MAX(0,N(E135)))/100)*(1+MAX(0,N(F135))+MAX(0,N(G135))),MAX(0,N(D135))*(MIN(100,MAX(0,N(E135)))/100)*H135))</f>
        <v/>
      </c>
    </row>
    <row r="136" ht="18" customHeight="1">
      <c r="A136" s="17" t="n"/>
      <c r="B136" s="17" t="n"/>
      <c r="C136" s="17" t="n"/>
      <c r="D136" s="19" t="n"/>
      <c r="E136" s="20" t="n"/>
      <c r="F136" s="19" t="n"/>
      <c r="G136" s="19" t="n"/>
      <c r="H136" s="7">
        <f>IF(B136="","",IFERROR(VLOOKUP(B136,Listas!$B$2:$C$13,2,0),1))</f>
        <v/>
      </c>
      <c r="I136" s="22">
        <f>IF(OR(A136="",B136=""),"",IF(B136="Activity",MAX(0,N(D136))*(MIN(100,MAX(0,N(E136)))/100)*(1+MAX(0,N(F136))+MAX(0,N(G136))),MAX(0,N(D136))*(MIN(100,MAX(0,N(E136)))/100)*H136))</f>
        <v/>
      </c>
    </row>
    <row r="137" ht="18" customHeight="1">
      <c r="A137" s="17" t="n"/>
      <c r="B137" s="17" t="n"/>
      <c r="C137" s="17" t="n"/>
      <c r="D137" s="19" t="n"/>
      <c r="E137" s="20" t="n"/>
      <c r="F137" s="19" t="n"/>
      <c r="G137" s="19" t="n"/>
      <c r="H137" s="7">
        <f>IF(B137="","",IFERROR(VLOOKUP(B137,Listas!$B$2:$C$13,2,0),1))</f>
        <v/>
      </c>
      <c r="I137" s="22">
        <f>IF(OR(A137="",B137=""),"",IF(B137="Activity",MAX(0,N(D137))*(MIN(100,MAX(0,N(E137)))/100)*(1+MAX(0,N(F137))+MAX(0,N(G137))),MAX(0,N(D137))*(MIN(100,MAX(0,N(E137)))/100)*H137))</f>
        <v/>
      </c>
    </row>
    <row r="138" ht="18" customHeight="1">
      <c r="A138" s="17" t="n"/>
      <c r="B138" s="17" t="n"/>
      <c r="C138" s="17" t="n"/>
      <c r="D138" s="19" t="n"/>
      <c r="E138" s="20" t="n"/>
      <c r="F138" s="19" t="n"/>
      <c r="G138" s="19" t="n"/>
      <c r="H138" s="7">
        <f>IF(B138="","",IFERROR(VLOOKUP(B138,Listas!$B$2:$C$13,2,0),1))</f>
        <v/>
      </c>
      <c r="I138" s="22">
        <f>IF(OR(A138="",B138=""),"",IF(B138="Activity",MAX(0,N(D138))*(MIN(100,MAX(0,N(E138)))/100)*(1+MAX(0,N(F138))+MAX(0,N(G138))),MAX(0,N(D138))*(MIN(100,MAX(0,N(E138)))/100)*H138))</f>
        <v/>
      </c>
    </row>
    <row r="139" ht="18" customHeight="1">
      <c r="A139" s="17" t="n"/>
      <c r="B139" s="17" t="n"/>
      <c r="C139" s="17" t="n"/>
      <c r="D139" s="19" t="n"/>
      <c r="E139" s="20" t="n"/>
      <c r="F139" s="19" t="n"/>
      <c r="G139" s="19" t="n"/>
      <c r="H139" s="7">
        <f>IF(B139="","",IFERROR(VLOOKUP(B139,Listas!$B$2:$C$13,2,0),1))</f>
        <v/>
      </c>
      <c r="I139" s="22">
        <f>IF(OR(A139="",B139=""),"",IF(B139="Activity",MAX(0,N(D139))*(MIN(100,MAX(0,N(E139)))/100)*(1+MAX(0,N(F139))+MAX(0,N(G139))),MAX(0,N(D139))*(MIN(100,MAX(0,N(E139)))/100)*H139))</f>
        <v/>
      </c>
    </row>
    <row r="140" ht="18" customHeight="1">
      <c r="A140" s="17" t="n"/>
      <c r="B140" s="17" t="n"/>
      <c r="C140" s="17" t="n"/>
      <c r="D140" s="19" t="n"/>
      <c r="E140" s="20" t="n"/>
      <c r="F140" s="19" t="n"/>
      <c r="G140" s="19" t="n"/>
      <c r="H140" s="7">
        <f>IF(B140="","",IFERROR(VLOOKUP(B140,Listas!$B$2:$C$13,2,0),1))</f>
        <v/>
      </c>
      <c r="I140" s="22">
        <f>IF(OR(A140="",B140=""),"",IF(B140="Activity",MAX(0,N(D140))*(MIN(100,MAX(0,N(E140)))/100)*(1+MAX(0,N(F140))+MAX(0,N(G140))),MAX(0,N(D140))*(MIN(100,MAX(0,N(E140)))/100)*H140))</f>
        <v/>
      </c>
    </row>
    <row r="141" ht="18" customHeight="1">
      <c r="A141" s="17" t="n"/>
      <c r="B141" s="17" t="n"/>
      <c r="C141" s="17" t="n"/>
      <c r="D141" s="19" t="n"/>
      <c r="E141" s="20" t="n"/>
      <c r="F141" s="19" t="n"/>
      <c r="G141" s="19" t="n"/>
      <c r="H141" s="7">
        <f>IF(B141="","",IFERROR(VLOOKUP(B141,Listas!$B$2:$C$13,2,0),1))</f>
        <v/>
      </c>
      <c r="I141" s="22">
        <f>IF(OR(A141="",B141=""),"",IF(B141="Activity",MAX(0,N(D141))*(MIN(100,MAX(0,N(E141)))/100)*(1+MAX(0,N(F141))+MAX(0,N(G141))),MAX(0,N(D141))*(MIN(100,MAX(0,N(E141)))/100)*H141))</f>
        <v/>
      </c>
    </row>
    <row r="142" ht="18" customHeight="1">
      <c r="A142" s="17" t="n"/>
      <c r="B142" s="17" t="n"/>
      <c r="C142" s="17" t="n"/>
      <c r="D142" s="19" t="n"/>
      <c r="E142" s="20" t="n"/>
      <c r="F142" s="19" t="n"/>
      <c r="G142" s="19" t="n"/>
      <c r="H142" s="7">
        <f>IF(B142="","",IFERROR(VLOOKUP(B142,Listas!$B$2:$C$13,2,0),1))</f>
        <v/>
      </c>
      <c r="I142" s="22">
        <f>IF(OR(A142="",B142=""),"",IF(B142="Activity",MAX(0,N(D142))*(MIN(100,MAX(0,N(E142)))/100)*(1+MAX(0,N(F142))+MAX(0,N(G142))),MAX(0,N(D142))*(MIN(100,MAX(0,N(E142)))/100)*H142))</f>
        <v/>
      </c>
    </row>
    <row r="143" ht="18" customHeight="1">
      <c r="A143" s="17" t="n"/>
      <c r="B143" s="17" t="n"/>
      <c r="C143" s="17" t="n"/>
      <c r="D143" s="19" t="n"/>
      <c r="E143" s="20" t="n"/>
      <c r="F143" s="19" t="n"/>
      <c r="G143" s="19" t="n"/>
      <c r="H143" s="7">
        <f>IF(B143="","",IFERROR(VLOOKUP(B143,Listas!$B$2:$C$13,2,0),1))</f>
        <v/>
      </c>
      <c r="I143" s="22">
        <f>IF(OR(A143="",B143=""),"",IF(B143="Activity",MAX(0,N(D143))*(MIN(100,MAX(0,N(E143)))/100)*(1+MAX(0,N(F143))+MAX(0,N(G143))),MAX(0,N(D143))*(MIN(100,MAX(0,N(E143)))/100)*H143))</f>
        <v/>
      </c>
    </row>
    <row r="144" ht="18" customHeight="1">
      <c r="A144" s="17" t="n"/>
      <c r="B144" s="17" t="n"/>
      <c r="C144" s="17" t="n"/>
      <c r="D144" s="19" t="n"/>
      <c r="E144" s="20" t="n"/>
      <c r="F144" s="19" t="n"/>
      <c r="G144" s="19" t="n"/>
      <c r="H144" s="7">
        <f>IF(B144="","",IFERROR(VLOOKUP(B144,Listas!$B$2:$C$13,2,0),1))</f>
        <v/>
      </c>
      <c r="I144" s="22">
        <f>IF(OR(A144="",B144=""),"",IF(B144="Activity",MAX(0,N(D144))*(MIN(100,MAX(0,N(E144)))/100)*(1+MAX(0,N(F144))+MAX(0,N(G144))),MAX(0,N(D144))*(MIN(100,MAX(0,N(E144)))/100)*H144))</f>
        <v/>
      </c>
    </row>
    <row r="145" ht="18" customHeight="1">
      <c r="A145" s="17" t="n"/>
      <c r="B145" s="17" t="n"/>
      <c r="C145" s="17" t="n"/>
      <c r="D145" s="19" t="n"/>
      <c r="E145" s="20" t="n"/>
      <c r="F145" s="19" t="n"/>
      <c r="G145" s="19" t="n"/>
      <c r="H145" s="7">
        <f>IF(B145="","",IFERROR(VLOOKUP(B145,Listas!$B$2:$C$13,2,0),1))</f>
        <v/>
      </c>
      <c r="I145" s="22">
        <f>IF(OR(A145="",B145=""),"",IF(B145="Activity",MAX(0,N(D145))*(MIN(100,MAX(0,N(E145)))/100)*(1+MAX(0,N(F145))+MAX(0,N(G145))),MAX(0,N(D145))*(MIN(100,MAX(0,N(E145)))/100)*H145))</f>
        <v/>
      </c>
    </row>
    <row r="146" ht="18" customHeight="1">
      <c r="A146" s="17" t="n"/>
      <c r="B146" s="17" t="n"/>
      <c r="C146" s="17" t="n"/>
      <c r="D146" s="19" t="n"/>
      <c r="E146" s="20" t="n"/>
      <c r="F146" s="19" t="n"/>
      <c r="G146" s="19" t="n"/>
      <c r="H146" s="7">
        <f>IF(B146="","",IFERROR(VLOOKUP(B146,Listas!$B$2:$C$13,2,0),1))</f>
        <v/>
      </c>
      <c r="I146" s="22">
        <f>IF(OR(A146="",B146=""),"",IF(B146="Activity",MAX(0,N(D146))*(MIN(100,MAX(0,N(E146)))/100)*(1+MAX(0,N(F146))+MAX(0,N(G146))),MAX(0,N(D146))*(MIN(100,MAX(0,N(E146)))/100)*H146))</f>
        <v/>
      </c>
    </row>
    <row r="147" ht="18" customHeight="1">
      <c r="A147" s="17" t="n"/>
      <c r="B147" s="17" t="n"/>
      <c r="C147" s="17" t="n"/>
      <c r="D147" s="19" t="n"/>
      <c r="E147" s="20" t="n"/>
      <c r="F147" s="19" t="n"/>
      <c r="G147" s="19" t="n"/>
      <c r="H147" s="7">
        <f>IF(B147="","",IFERROR(VLOOKUP(B147,Listas!$B$2:$C$13,2,0),1))</f>
        <v/>
      </c>
      <c r="I147" s="22">
        <f>IF(OR(A147="",B147=""),"",IF(B147="Activity",MAX(0,N(D147))*(MIN(100,MAX(0,N(E147)))/100)*(1+MAX(0,N(F147))+MAX(0,N(G147))),MAX(0,N(D147))*(MIN(100,MAX(0,N(E147)))/100)*H147))</f>
        <v/>
      </c>
    </row>
    <row r="148" ht="18" customHeight="1">
      <c r="A148" s="17" t="n"/>
      <c r="B148" s="17" t="n"/>
      <c r="C148" s="17" t="n"/>
      <c r="D148" s="19" t="n"/>
      <c r="E148" s="20" t="n"/>
      <c r="F148" s="19" t="n"/>
      <c r="G148" s="19" t="n"/>
      <c r="H148" s="7">
        <f>IF(B148="","",IFERROR(VLOOKUP(B148,Listas!$B$2:$C$13,2,0),1))</f>
        <v/>
      </c>
      <c r="I148" s="22">
        <f>IF(OR(A148="",B148=""),"",IF(B148="Activity",MAX(0,N(D148))*(MIN(100,MAX(0,N(E148)))/100)*(1+MAX(0,N(F148))+MAX(0,N(G148))),MAX(0,N(D148))*(MIN(100,MAX(0,N(E148)))/100)*H148))</f>
        <v/>
      </c>
    </row>
    <row r="149" ht="18" customHeight="1">
      <c r="A149" s="17" t="n"/>
      <c r="B149" s="17" t="n"/>
      <c r="C149" s="17" t="n"/>
      <c r="D149" s="19" t="n"/>
      <c r="E149" s="20" t="n"/>
      <c r="F149" s="19" t="n"/>
      <c r="G149" s="19" t="n"/>
      <c r="H149" s="7">
        <f>IF(B149="","",IFERROR(VLOOKUP(B149,Listas!$B$2:$C$13,2,0),1))</f>
        <v/>
      </c>
      <c r="I149" s="22">
        <f>IF(OR(A149="",B149=""),"",IF(B149="Activity",MAX(0,N(D149))*(MIN(100,MAX(0,N(E149)))/100)*(1+MAX(0,N(F149))+MAX(0,N(G149))),MAX(0,N(D149))*(MIN(100,MAX(0,N(E149)))/100)*H149))</f>
        <v/>
      </c>
    </row>
    <row r="150" ht="18" customHeight="1">
      <c r="A150" s="17" t="n"/>
      <c r="B150" s="17" t="n"/>
      <c r="C150" s="17" t="n"/>
      <c r="D150" s="19" t="n"/>
      <c r="E150" s="20" t="n"/>
      <c r="F150" s="19" t="n"/>
      <c r="G150" s="19" t="n"/>
      <c r="H150" s="7">
        <f>IF(B150="","",IFERROR(VLOOKUP(B150,Listas!$B$2:$C$13,2,0),1))</f>
        <v/>
      </c>
      <c r="I150" s="22">
        <f>IF(OR(A150="",B150=""),"",IF(B150="Activity",MAX(0,N(D150))*(MIN(100,MAX(0,N(E150)))/100)*(1+MAX(0,N(F150))+MAX(0,N(G150))),MAX(0,N(D150))*(MIN(100,MAX(0,N(E150)))/100)*H150))</f>
        <v/>
      </c>
    </row>
    <row r="151" ht="18" customHeight="1">
      <c r="A151" s="17" t="n"/>
      <c r="B151" s="17" t="n"/>
      <c r="C151" s="17" t="n"/>
      <c r="D151" s="19" t="n"/>
      <c r="E151" s="20" t="n"/>
      <c r="F151" s="19" t="n"/>
      <c r="G151" s="19" t="n"/>
      <c r="H151" s="7">
        <f>IF(B151="","",IFERROR(VLOOKUP(B151,Listas!$B$2:$C$13,2,0),1))</f>
        <v/>
      </c>
      <c r="I151" s="22">
        <f>IF(OR(A151="",B151=""),"",IF(B151="Activity",MAX(0,N(D151))*(MIN(100,MAX(0,N(E151)))/100)*(1+MAX(0,N(F151))+MAX(0,N(G151))),MAX(0,N(D151))*(MIN(100,MAX(0,N(E151)))/100)*H151))</f>
        <v/>
      </c>
    </row>
  </sheetData>
  <autoFilter ref="A1:I151"/>
  <dataValidations count="2">
    <dataValidation sqref="A2:A151" showDropDown="0" showInputMessage="0" showErrorMessage="1" allowBlank="1" errorTitle="Workflow" error="Elige un nombre de la hoja Workflows" type="list">
      <formula1>=Workflows!$A$2:$A$21</formula1>
    </dataValidation>
    <dataValidation sqref="B2:B151" showDropDown="0" showInputMessage="0" showErrorMessage="1" allowBlank="1" errorTitle="Tipo" error="Elige un tipo de la hoja Listas" type="list">
      <formula1>=Listas!$B$2:$B$13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5EEF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28" customWidth="1" min="3" max="3"/>
    <col width="72" customWidth="1" min="4" max="4"/>
  </cols>
  <sheetData>
    <row r="1">
      <c r="A1" s="1" t="inlineStr">
        <is>
          <t>Catálogo oficial de Actions (referencia, no input)</t>
        </is>
      </c>
    </row>
    <row r="3">
      <c r="A3" s="2" t="inlineStr">
        <is>
          <t>En la calculadora</t>
        </is>
      </c>
      <c r="B3" s="2" t="inlineStr">
        <is>
          <t>Usage / metric name</t>
        </is>
      </c>
      <c r="C3" s="2" t="inlineStr">
        <is>
          <t>Actions</t>
        </is>
      </c>
      <c r="D3" s="2" t="inlineStr">
        <is>
          <t>Nota oficial</t>
        </is>
      </c>
    </row>
    <row r="4" ht="32" customHeight="1">
      <c r="A4" s="3" t="inlineStr">
        <is>
          <t>Origen Cliente</t>
        </is>
      </c>
      <c r="B4" s="3" t="inlineStr">
        <is>
          <t>start_workflow</t>
        </is>
      </c>
      <c r="C4" s="3" t="inlineStr">
        <is>
          <t>1</t>
        </is>
      </c>
      <c r="D4" s="3" t="inlineStr">
        <is>
          <t>Start vía client. Dedup por Workflow ID no cuenta.</t>
        </is>
      </c>
    </row>
    <row r="5" ht="32" customHeight="1">
      <c r="A5" s="3" t="inlineStr">
        <is>
          <t>Origen Signal-With-Start</t>
        </is>
      </c>
      <c r="B5" s="3" t="inlineStr">
        <is>
          <t>signal_workflow_with_start</t>
        </is>
      </c>
      <c r="C5" s="3" t="inlineStr">
        <is>
          <t>1</t>
        </is>
      </c>
      <c r="D5" s="3" t="inlineStr">
        <is>
          <t>Un Action total, arranque o no.</t>
        </is>
      </c>
    </row>
    <row r="6" ht="32" customHeight="1">
      <c r="A6" s="3" t="inlineStr">
        <is>
          <t>Origen Schedule</t>
        </is>
      </c>
      <c r="B6" s="3" t="inlineStr">
        <is>
          <t>schedule start + start_workflow</t>
        </is>
      </c>
      <c r="C6" s="3" t="inlineStr">
        <is>
          <t>3</t>
        </is>
      </c>
      <c r="D6" s="3" t="inlineStr">
        <is>
          <t>Schedule Start cuenta 2; el workflow 1.</t>
        </is>
      </c>
    </row>
    <row r="7" ht="32" customHeight="1">
      <c r="A7" s="3" t="inlineStr">
        <is>
          <t>Activity</t>
        </is>
      </c>
      <c r="B7" s="3" t="inlineStr">
        <is>
          <t>schedule_activity + retry_activity + record_activity_heartbeat</t>
        </is>
      </c>
      <c r="C7" s="3" t="inlineStr">
        <is>
          <t>1 + retries + HB</t>
        </is>
      </c>
      <c r="D7" s="3" t="inlineStr">
        <is>
          <t>HB solo si llega al server. SDK throttle ~80% del timeout.</t>
        </is>
      </c>
    </row>
    <row r="8" ht="32" customHeight="1">
      <c r="A8" s="3" t="inlineStr">
        <is>
          <t>Local Activities (1 por WFT)</t>
        </is>
      </c>
      <c r="B8" s="3" t="inlineStr">
        <is>
          <t>record_activity_markers</t>
        </is>
      </c>
      <c r="C8" s="3" t="inlineStr">
        <is>
          <t>1 por Workflow Task</t>
        </is>
      </c>
      <c r="D8" s="3" t="inlineStr">
        <is>
          <t>N Local Activities del mismo WFT = 1 Action.</t>
        </is>
      </c>
    </row>
    <row r="9" ht="32" customHeight="1">
      <c r="A9" s="3" t="inlineStr">
        <is>
          <t>Timer / timeout SDK</t>
        </is>
      </c>
      <c r="B9" s="3" t="inlineStr">
        <is>
          <t>start_timer</t>
        </is>
      </c>
      <c r="C9" s="3" t="inlineStr">
        <is>
          <t>1</t>
        </is>
      </c>
      <c r="D9" s="3" t="inlineStr">
        <is>
          <t>Incluye AwaitWithTimeout / condition.</t>
        </is>
      </c>
    </row>
    <row r="10" ht="32" customHeight="1">
      <c r="A10" s="3" t="inlineStr">
        <is>
          <t>Signal</t>
        </is>
      </c>
      <c r="B10" s="3" t="inlineStr">
        <is>
          <t>signal_workflow</t>
        </is>
      </c>
      <c r="C10" s="3" t="inlineStr">
        <is>
          <t>1</t>
        </is>
      </c>
      <c r="D10" s="3" t="inlineStr">
        <is>
          <t>Client o workflow.</t>
        </is>
      </c>
    </row>
    <row r="11" ht="32" customHeight="1">
      <c r="A11" s="3" t="inlineStr">
        <is>
          <t>Signal externo</t>
        </is>
      </c>
      <c r="B11" s="3" t="inlineStr">
        <is>
          <t>signal_external_workflow</t>
        </is>
      </c>
      <c r="C11" s="3" t="inlineStr">
        <is>
          <t>1</t>
        </is>
      </c>
      <c r="D11" s="3" t="inlineStr">
        <is>
          <t>En el history del signaled.</t>
        </is>
      </c>
    </row>
    <row r="12" ht="32" customHeight="1">
      <c r="A12" s="3" t="inlineStr">
        <is>
          <t>Query</t>
        </is>
      </c>
      <c r="B12" s="3" t="inlineStr">
        <is>
          <t>query_workflow</t>
        </is>
      </c>
      <c r="C12" s="3" t="inlineStr">
        <is>
          <t>1</t>
        </is>
      </c>
      <c r="D12" s="3" t="inlineStr">
        <is>
          <t>Incluye call stack en UI Cloud. __temporal_workflow_metadata excluida.</t>
        </is>
      </c>
    </row>
    <row r="13" ht="32" customHeight="1">
      <c r="A13" s="3" t="inlineStr">
        <is>
          <t>Update</t>
        </is>
      </c>
      <c r="B13" s="3" t="inlineStr">
        <is>
          <t>accept_workflow_update / reject_workflow_update</t>
        </is>
      </c>
      <c r="C13" s="3" t="inlineStr">
        <is>
          <t>1</t>
        </is>
      </c>
      <c r="D13" s="3" t="inlineStr">
        <is>
          <t>Dedup por Update ID no cuenta.</t>
        </is>
      </c>
    </row>
    <row r="14" ht="32" customHeight="1">
      <c r="A14" s="3" t="inlineStr">
        <is>
          <t>Child (hijo NO listado)</t>
        </is>
      </c>
      <c r="B14" s="3" t="inlineStr">
        <is>
          <t>start_child_workflow + start</t>
        </is>
      </c>
      <c r="C14" s="3" t="inlineStr">
        <is>
          <t>2</t>
        </is>
      </c>
      <c r="D14" s="3" t="inlineStr">
        <is>
          <t>Intent + intento de start. Si el hijo es otra fila, no uses este tipo.</t>
        </is>
      </c>
    </row>
    <row r="15" ht="32" customHeight="1">
      <c r="A15" s="3" t="inlineStr">
        <is>
          <t>Continue-As-New</t>
        </is>
      </c>
      <c r="B15" s="3" t="inlineStr">
        <is>
          <t>continue_as_new_workflow</t>
        </is>
      </c>
      <c r="C15" s="3" t="inlineStr">
        <is>
          <t>1</t>
        </is>
      </c>
      <c r="D15" s="3" t="inlineStr">
        <is>
          <t>El nuevo run también tiene su start.</t>
        </is>
      </c>
    </row>
    <row r="16" ht="32" customHeight="1">
      <c r="A16" s="3" t="inlineStr">
        <is>
          <t>Upsert Search Attributes</t>
        </is>
      </c>
      <c r="B16" s="3" t="inlineStr">
        <is>
          <t>upsert_workflow_search_attributes</t>
        </is>
      </c>
      <c r="C16" s="3" t="inlineStr">
        <is>
          <t>1 por comando</t>
        </is>
      </c>
      <c r="D16" s="3" t="inlineStr">
        <is>
          <t>Varios SA en un comando = 1. SA al start no cuentan.</t>
        </is>
      </c>
    </row>
    <row r="17" ht="32" customHeight="1">
      <c r="A17" s="3" t="inlineStr">
        <is>
          <t>Nexus Operation (caller)</t>
        </is>
      </c>
      <c r="B17" s="3" t="inlineStr">
        <is>
          <t>schedule_nexus_operation</t>
        </is>
      </c>
      <c r="C17" s="3" t="inlineStr">
        <is>
          <t>1 en caller</t>
        </is>
      </c>
      <c r="D17" s="3" t="inlineStr">
        <is>
          <t>El handler factura sus primitives aparte.</t>
        </is>
      </c>
    </row>
    <row r="18" ht="32" customHeight="1">
      <c r="A18" s="3" t="inlineStr">
        <is>
          <t>WFT Heartbeat (LA largas)</t>
        </is>
      </c>
      <c r="B18" s="3" t="inlineStr">
        <is>
          <t>record_workflow_heartbeat</t>
        </is>
      </c>
      <c r="C18" s="3" t="inlineStr">
        <is>
          <t>1</t>
        </is>
      </c>
      <c r="D18" s="3" t="inlineStr">
        <is>
          <t>Local Activities largas que latean el WFT.</t>
        </is>
      </c>
    </row>
    <row r="19" ht="32" customHeight="1">
      <c r="A19" s="3" t="inlineStr">
        <is>
          <t>Replay</t>
        </is>
      </c>
      <c r="B19" s="3" t="inlineStr">
        <is>
          <t>-</t>
        </is>
      </c>
      <c r="C19" s="3" t="inlineStr">
        <is>
          <t>0</t>
        </is>
      </c>
      <c r="D19" s="3" t="inlineStr">
        <is>
          <t>No factura. Solo worker.</t>
        </is>
      </c>
    </row>
    <row r="21">
      <c r="A21" s="23" t="inlineStr">
        <is>
          <t>https://docs.temporal.io/cloud/actions</t>
        </is>
      </c>
    </row>
    <row r="22">
      <c r="A22" s="23" t="inlineStr">
        <is>
          <t>https://docs.temporal.io/cloud/pricing</t>
        </is>
      </c>
    </row>
  </sheetData>
  <mergeCells count="1">
    <mergeCell ref="A1:D1"/>
  </mergeCells>
  <hyperlinks>
    <hyperlink xmlns:r="http://schemas.openxmlformats.org/officeDocument/2006/relationships" ref="A21" r:id="rId1"/>
    <hyperlink xmlns:r="http://schemas.openxmlformats.org/officeDocument/2006/relationships" ref="A2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ludhara-tech</dc:creator>
  <dc:title>Calculadora Temporal Cloud</dc:title>
  <dcterms:created xsi:type="dcterms:W3CDTF">2026-10-29T03:41:46Z</dcterms:created>
  <dcterms:modified xsi:type="dcterms:W3CDTF">2026-10-29T03:41:46Z</dcterms:modified>
</cp:coreProperties>
</file>