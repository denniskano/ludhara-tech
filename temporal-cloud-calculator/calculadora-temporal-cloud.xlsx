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rifas" sheetId="1" state="visible" r:id="rId1"/>
    <sheet name="Resumen" sheetId="2" state="visible" r:id="rId2"/>
    <sheet name="Listas" sheetId="3" state="visible" r:id="rId3"/>
    <sheet name="Workflows" sheetId="4" state="visible" r:id="rId4"/>
    <sheet name="Pasos" sheetId="5" state="visible" r:id="rId5"/>
    <sheet name="Catalogo" sheetId="6" state="visible" r:id="rId6"/>
    <sheet name="Diccionario" sheetId="7" state="visible" r:id="rId7"/>
  </sheets>
  <definedNames>
    <definedName name="RATE_ACTIONS">Tarifas!$B$4</definedName>
    <definedName name="RATE_ACTIVE">Tarifas!$B$5</definedName>
    <definedName name="RATE_RETAINED">Tarifas!$B$6</definedName>
    <definedName name="HORAS_MES">Tarifas!$B$7</definedName>
    <definedName name="RETENTION_DIAS">Tarifas!$B$8</definedName>
    <definedName name="PCT_CERT">Tarifas!$B$9</definedName>
    <definedName name="PCT_DEV">Tarifas!$B$10</definedName>
    <definedName name="ORIGENES">Listas!$A$2:$A$5</definedName>
    <definedName name="TIPOS">Listas!$B$2:$B$13</definedName>
    <definedName name="TIPO_UNIDAD">Listas!$B$2:$C$13</definedName>
    <definedName name="TIPO_COPIAS">Listas!$B$2:$D$13</definedName>
    <definedName name="WF_NAMES">Workflows!$A$2:$A$21</definedName>
    <definedName name="_xlnm._FilterDatabase" localSheetId="3" hidden="1">'Workflows'!$A$1:$O$21</definedName>
    <definedName name="_xlnm._FilterDatabase" localSheetId="4" hidden="1">'Pasos'!$A$1:$K$151</definedName>
    <definedName name="_xlnm._FilterDatabase" localSheetId="6" hidden="1">'Diccionario'!$A$9:$G$54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#,##0.00000"/>
    <numFmt numFmtId="165" formatCode="#,##0.000"/>
    <numFmt numFmtId="166" formatCode="&quot;$&quot;#,##0.00"/>
    <numFmt numFmtId="167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1D2939"/>
      <sz val="10"/>
    </font>
    <font>
      <name val="Calibri"/>
      <b val="1"/>
      <color rgb="001B4F72"/>
      <sz val="12"/>
    </font>
    <font>
      <name val="Calibri"/>
      <b val="1"/>
      <sz val="11"/>
    </font>
    <font>
      <name val="Calibri"/>
      <color rgb="00155EEF"/>
      <sz val="10"/>
      <u val="single"/>
    </font>
  </fonts>
  <fills count="9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F8FAFC"/>
      </patternFill>
    </fill>
    <fill>
      <patternFill patternType="solid">
        <fgColor rgb="00FFF3C4"/>
      </patternFill>
    </fill>
    <fill>
      <patternFill patternType="solid">
        <fgColor rgb="00E8F6F3"/>
      </patternFill>
    </fill>
    <fill>
      <patternFill patternType="solid">
        <fgColor rgb="00AAF0C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2" fontId="3" fillId="5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center" wrapText="1"/>
    </xf>
    <xf numFmtId="1" fontId="3" fillId="6" borderId="1" applyAlignment="1" pivotButton="0" quotePrefix="0" xfId="0">
      <alignment vertical="center" wrapText="1"/>
    </xf>
    <xf numFmtId="3" fontId="3" fillId="6" borderId="1" applyAlignment="1" pivotButton="0" quotePrefix="0" xfId="0">
      <alignment vertical="center" wrapText="1"/>
    </xf>
    <xf numFmtId="4" fontId="3" fillId="6" borderId="1" applyAlignment="1" pivotButton="0" quotePrefix="0" xfId="0">
      <alignment vertical="center" wrapText="1"/>
    </xf>
    <xf numFmtId="166" fontId="3" fillId="6" borderId="1" applyAlignment="1" pivotButton="0" quotePrefix="0" xfId="0">
      <alignment vertical="center" wrapText="1"/>
    </xf>
    <xf numFmtId="165" fontId="3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165" fontId="5" fillId="6" borderId="1" applyAlignment="1" pivotButton="0" quotePrefix="0" xfId="0">
      <alignment vertical="center" wrapText="1"/>
    </xf>
    <xf numFmtId="166" fontId="5" fillId="6" borderId="1" applyAlignment="1" pivotButton="0" quotePrefix="0" xfId="0">
      <alignment vertical="center" wrapText="1"/>
    </xf>
    <xf numFmtId="2" fontId="3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165" fontId="5" fillId="7" borderId="1" applyAlignment="1" pivotButton="0" quotePrefix="0" xfId="0">
      <alignment vertical="center" wrapText="1"/>
    </xf>
    <xf numFmtId="166" fontId="5" fillId="7" borderId="1" applyAlignment="1" pivotButton="0" quotePrefix="0" xfId="0">
      <alignment vertical="center" wrapText="1"/>
    </xf>
    <xf numFmtId="1" fontId="3" fillId="4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3" fontId="3" fillId="5" borderId="1" applyAlignment="1" pivotButton="0" quotePrefix="0" xfId="0">
      <alignment vertical="center" wrapText="1"/>
    </xf>
    <xf numFmtId="1" fontId="3" fillId="5" borderId="1" applyAlignment="1" pivotButton="0" quotePrefix="0" xfId="0">
      <alignment vertical="center" wrapText="1"/>
    </xf>
    <xf numFmtId="167" fontId="3" fillId="6" borderId="1" applyAlignment="1" pivotButton="0" quotePrefix="0" xfId="0">
      <alignment vertical="center" wrapText="1"/>
    </xf>
    <xf numFmtId="0" fontId="6" fillId="0" borderId="0" pivotButton="0" quotePrefix="0" xfId="0"/>
    <xf numFmtId="0" fontId="3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docs.temporal.io/cloud/actions" TargetMode="External" Id="rId1" /><Relationship Type="http://schemas.openxmlformats.org/officeDocument/2006/relationships/hyperlink" Target="https://docs.temporal.io/cloud/pricing" TargetMode="External" Id="rId2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/>
  </sheetPr>
  <dimension ref="A1:C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88" customWidth="1" min="3" max="3"/>
  </cols>
  <sheetData>
    <row r="1" ht="28" customHeight="1">
      <c r="A1" s="1" t="inlineStr">
        <is>
          <t>Temporal Cloud — tarifas commitment 3 años (celdas amarillas = input)</t>
        </is>
      </c>
    </row>
    <row r="3">
      <c r="A3" s="2" t="inlineStr">
        <is>
          <t>Parámetro</t>
        </is>
      </c>
      <c r="B3" s="2" t="inlineStr">
        <is>
          <t>Valor</t>
        </is>
      </c>
      <c r="C3" s="2" t="inlineStr">
        <is>
          <t>Nota</t>
        </is>
      </c>
    </row>
    <row r="4">
      <c r="A4" s="3" t="inlineStr">
        <is>
          <t>Actions ($ / millón)</t>
        </is>
      </c>
      <c r="B4" s="4" t="n">
        <v>23.16</v>
      </c>
      <c r="C4" s="3" t="inlineStr">
        <is>
          <t>Contrato. List público empieza en $50/millón.</t>
        </is>
      </c>
    </row>
    <row r="5">
      <c r="A5" s="3" t="inlineStr">
        <is>
          <t>Active Storage ($ / GB-h)</t>
        </is>
      </c>
      <c r="B5" s="4" t="n">
        <v>0.039</v>
      </c>
      <c r="C5" s="3" t="inlineStr">
        <is>
          <t>Contrato. List público $0.042/GBh.</t>
        </is>
      </c>
    </row>
    <row r="6">
      <c r="A6" s="3" t="inlineStr">
        <is>
          <t>Retained Storage ($ / GB-h)</t>
        </is>
      </c>
      <c r="B6" s="4" t="n">
        <v>0.00105</v>
      </c>
      <c r="C6" s="3" t="inlineStr">
        <is>
          <t>Igual al list público.</t>
        </is>
      </c>
    </row>
    <row r="7">
      <c r="A7" s="3" t="inlineStr">
        <is>
          <t>Horas / mes (referencia GB)</t>
        </is>
      </c>
      <c r="B7" s="4" t="n">
        <v>730</v>
      </c>
      <c r="C7" s="3" t="inlineStr">
        <is>
          <t>Temporal usa 744 h para GB incluidos del plan. No entra en Actions.</t>
        </is>
      </c>
    </row>
    <row r="8">
      <c r="A8" s="3" t="inlineStr">
        <is>
          <t>Namespace Retention Period (días) — solo Retained Storage</t>
        </is>
      </c>
      <c r="B8" s="4" t="n">
        <v>30</v>
      </c>
      <c r="C8" s="3" t="inlineStr">
        <is>
          <t>NO es Active. Tras close, el namespace guarda el Event History estos días (máx. 90). Un valor para todos los workflows.</t>
        </is>
      </c>
    </row>
    <row r="9">
      <c r="A9" s="3" t="inlineStr">
        <is>
          <t>% certificación (sobre producción)</t>
        </is>
      </c>
      <c r="B9" s="5" t="n">
        <v>15</v>
      </c>
      <c r="C9" s="3" t="inlineStr">
        <is>
          <t>Atajo de volumen. USD cert = TOTAL prod × este % / 100. Mismo mix, Duration, Retention y retries que prod.</t>
        </is>
      </c>
    </row>
    <row r="10">
      <c r="A10" s="3" t="inlineStr">
        <is>
          <t>% desarrollo (sobre producción)</t>
        </is>
      </c>
      <c r="B10" s="5" t="n">
        <v>5</v>
      </c>
      <c r="C10" s="3" t="inlineStr">
        <is>
          <t>Atajo de volumen. USD dev = TOTAL prod × este % / 100. TOTAL cuenta = prod + cert + dev.</t>
        </is>
      </c>
    </row>
    <row r="12">
      <c r="A12" s="6" t="inlineStr">
        <is>
          <t>Cómo leer</t>
        </is>
      </c>
    </row>
    <row r="13" ht="28" customHeight="1">
      <c r="A13" s="7" t="inlineStr">
        <is>
          <t>1. El detalle de Workflows/Pasos es producción. Cert y dev se estiman como % del TOTAL prod (Tarifas B9/B10).</t>
        </is>
      </c>
    </row>
    <row r="14" ht="28" customHeight="1">
      <c r="A14" s="7" t="inlineStr">
        <is>
          <t>2. Workflows: type, ejecuciones, origen, Workflow Execution Duration (h) = Active, Payload StartWorkflow (KB).</t>
        </is>
      </c>
    </row>
    <row r="15" ht="28" customHeight="1">
      <c r="A15" s="7" t="inlineStr">
        <is>
          <t>3. Pasos: veces × (%/100) × unidad = Actions. Payload (KB) del mensaje que fluye en ese paso.</t>
        </is>
      </c>
    </row>
    <row r="16" ht="28" customHeight="1">
      <c r="A16" s="7" t="inlineStr">
        <is>
          <t>4. Event History (KB) = Payload StartWorkflow + Σ (veces × % × Payload × copias). Activity ×2 (input+result) y ×(1+retries).</t>
        </is>
      </c>
    </row>
    <row r="17" ht="28" customHeight="1">
      <c r="A17" s="7" t="inlineStr">
        <is>
          <t>5. Query y Timer no persisten Payload. Active = exec × GB × Duration. Retained = exec × GB × Retention × 24.</t>
        </is>
      </c>
    </row>
    <row r="18" ht="28" customHeight="1">
      <c r="A18" s="7" t="inlineStr">
        <is>
          <t>6. Origen Cliente = 1 start. Signal-With-Start = 1. Schedule = 3 (incluye start). Child no listado = 2. Nombres unicos (SUMIF).</t>
        </is>
      </c>
    </row>
    <row r="19" ht="28" customHeight="1">
      <c r="A19" s="7" t="inlineStr">
        <is>
          <t>7. Replay no factura. Heartbeat solo si llega al server (SDK ~80% del Heartbeat Timeout). 1 GB = 1.000.000 KB.</t>
        </is>
      </c>
    </row>
    <row r="20" ht="28" customHeight="1">
      <c r="A20" s="7" t="inlineStr">
        <is>
          <t>8. Fuentes: https://docs.temporal.io/cloud/actions  y  https://docs.temporal.io/cloud/pricing</t>
        </is>
      </c>
    </row>
  </sheetData>
  <mergeCells count="9">
    <mergeCell ref="A13:C13"/>
    <mergeCell ref="A19:C19"/>
    <mergeCell ref="A1:C1"/>
    <mergeCell ref="A14:C14"/>
    <mergeCell ref="A17:C17"/>
    <mergeCell ref="A18:C18"/>
    <mergeCell ref="A15:C15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2318"/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6" customWidth="1" min="3" max="3"/>
    <col width="16" customWidth="1" min="4" max="4"/>
  </cols>
  <sheetData>
    <row r="1" ht="28" customHeight="1">
      <c r="A1" s="1" t="inlineStr">
        <is>
          <t>Resumen mensual — Temporal Cloud (commitment 3 años)</t>
        </is>
      </c>
    </row>
    <row r="3">
      <c r="A3" s="2" t="inlineStr">
        <is>
          <t>Indicador</t>
        </is>
      </c>
      <c r="B3" s="2" t="inlineStr">
        <is>
          <t>Cantidad</t>
        </is>
      </c>
      <c r="C3" s="2" t="inlineStr">
        <is>
          <t>USD / mes</t>
        </is>
      </c>
    </row>
    <row r="4">
      <c r="A4" s="3" t="inlineStr">
        <is>
          <t>Tipos de workflow con nombre</t>
        </is>
      </c>
      <c r="B4" s="8">
        <f>COUNTA(Workflows!A2:A21)</f>
        <v/>
      </c>
      <c r="C4" s="3" t="inlineStr">
        <is>
          <t>-</t>
        </is>
      </c>
    </row>
    <row r="5">
      <c r="A5" s="3" t="inlineStr">
        <is>
          <t>Ejecuciones / mes</t>
        </is>
      </c>
      <c r="B5" s="9">
        <f>SUMIF(Workflows!A2:A21,"&lt;&gt;",Workflows!B2:B21)</f>
        <v/>
      </c>
      <c r="C5" s="3" t="inlineStr">
        <is>
          <t>-</t>
        </is>
      </c>
    </row>
    <row r="6">
      <c r="A6" s="3" t="inlineStr">
        <is>
          <t>Actions / mes</t>
        </is>
      </c>
      <c r="B6" s="10">
        <f>SUMIF(Workflows!A2:A21,"&lt;&gt;",Workflows!I2:I21)</f>
        <v/>
      </c>
      <c r="C6" s="11">
        <f>B6/1000000*RATE_ACTIONS</f>
        <v/>
      </c>
    </row>
    <row r="7">
      <c r="A7" s="3" t="inlineStr">
        <is>
          <t>Actions (millones)</t>
        </is>
      </c>
      <c r="B7" s="12">
        <f>B6/1000000</f>
        <v/>
      </c>
      <c r="C7" s="3" t="inlineStr">
        <is>
          <t>-</t>
        </is>
      </c>
    </row>
    <row r="8">
      <c r="A8" s="3" t="inlineStr">
        <is>
          <t>Actions / ejecución (media)</t>
        </is>
      </c>
      <c r="B8" s="12">
        <f>IF(B5=0,0,B6/B5)</f>
        <v/>
      </c>
      <c r="C8" s="3" t="inlineStr">
        <is>
          <t>-</t>
        </is>
      </c>
    </row>
    <row r="9">
      <c r="A9" s="3" t="inlineStr">
        <is>
          <t>Active Storage (GBh)</t>
        </is>
      </c>
      <c r="B9" s="12">
        <f>SUMIF(Workflows!A2:A21,"&lt;&gt;",Workflows!J2:J21)</f>
        <v/>
      </c>
      <c r="C9" s="11">
        <f>B9*RATE_ACTIVE</f>
        <v/>
      </c>
    </row>
    <row r="10">
      <c r="A10" s="3" t="inlineStr">
        <is>
          <t>Retained Storage (GBh)</t>
        </is>
      </c>
      <c r="B10" s="12">
        <f>SUMIF(Workflows!A2:A21,"&lt;&gt;",Workflows!K2:K21)</f>
        <v/>
      </c>
      <c r="C10" s="11">
        <f>B10*RATE_RETAINED</f>
        <v/>
      </c>
    </row>
    <row r="11">
      <c r="A11" s="3" t="inlineStr">
        <is>
          <t>GB activo equivalente (GBh / horas mes)</t>
        </is>
      </c>
      <c r="B11" s="12">
        <f>IF(HORAS_MES=0,0,B9/HORAS_MES)</f>
        <v/>
      </c>
      <c r="C11" s="3" t="inlineStr">
        <is>
          <t>-</t>
        </is>
      </c>
    </row>
    <row r="12">
      <c r="A12" s="13" t="inlineStr">
        <is>
          <t>TOTAL producción USD / mes</t>
        </is>
      </c>
      <c r="B12" s="14" t="inlineStr">
        <is>
          <t>-</t>
        </is>
      </c>
      <c r="C12" s="15">
        <f>N(C6)+N(C9)+N(C10)</f>
        <v/>
      </c>
    </row>
    <row r="13">
      <c r="A13" s="3" t="inlineStr">
        <is>
          <t>Certificación (PCT_CERT % de producción)</t>
        </is>
      </c>
      <c r="B13" s="16">
        <f>MAX(0,N(PCT_CERT))</f>
        <v/>
      </c>
      <c r="C13" s="11">
        <f>N(C12)*MAX(0,N(PCT_CERT))/100</f>
        <v/>
      </c>
    </row>
    <row r="14">
      <c r="A14" s="3" t="inlineStr">
        <is>
          <t>Desarrollo (PCT_DEV % de producción)</t>
        </is>
      </c>
      <c r="B14" s="16">
        <f>MAX(0,N(PCT_DEV))</f>
        <v/>
      </c>
      <c r="C14" s="11">
        <f>N(C12)*MAX(0,N(PCT_DEV))/100</f>
        <v/>
      </c>
    </row>
    <row r="15">
      <c r="A15" s="17" t="inlineStr">
        <is>
          <t>TOTAL cuenta USD / mes (prod + cert + dev)</t>
        </is>
      </c>
      <c r="B15" s="18" t="inlineStr">
        <is>
          <t>-</t>
        </is>
      </c>
      <c r="C15" s="19">
        <f>N(C12)+N(C13)+N(C14)</f>
        <v/>
      </c>
    </row>
    <row r="16">
      <c r="A16" s="3" t="inlineStr">
        <is>
          <t>Nombres duplicados en Workflows (0 = OK)</t>
        </is>
      </c>
      <c r="B16" s="8">
        <f>SUMPRODUCT((Workflows!A2:A21&lt;&gt;"")*(COUNTIF(Workflows!A2:A21,Workflows!A2:A21)&gt;1))</f>
        <v/>
      </c>
      <c r="C16" s="3" t="inlineStr">
        <is>
          <t>-</t>
        </is>
      </c>
    </row>
    <row r="18">
      <c r="A18" s="6" t="inlineStr">
        <is>
          <t>Costo por workflow type (producción): columnas L-O de la hoja Workflows.</t>
        </is>
      </c>
    </row>
    <row r="20" ht="48" customHeight="1">
      <c r="A20" s="7" t="inlineStr">
        <is>
          <t>Estimado de regimen, no la factura. Temporal documenta hasta 5% de diferencia entre metricas OpenMetrics y metering. Cert y dev son un % del TOTAL de produccion (mismo mix/Retention). No incluye Support, Export, Fairness ni TRU ociosos. Abrir en Excel para Windows o Microsoft 365: Habilitar edicion si aparece Vista protegida.</t>
        </is>
      </c>
    </row>
  </sheetData>
  <mergeCells count="3">
    <mergeCell ref="A1:D1"/>
    <mergeCell ref="A18:D18"/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941C6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8" customWidth="1" min="3" max="3"/>
    <col width="32" customWidth="1" min="4" max="4"/>
  </cols>
  <sheetData>
    <row r="1">
      <c r="A1" s="2" t="inlineStr">
        <is>
          <t>Origen</t>
        </is>
      </c>
      <c r="B1" s="2" t="inlineStr">
        <is>
          <t>Tipo de paso</t>
        </is>
      </c>
      <c r="C1" s="2" t="inlineStr">
        <is>
          <t>Actions unitarias</t>
        </is>
      </c>
      <c r="D1" s="2" t="inlineStr">
        <is>
          <t>Copias Payload en Event History</t>
        </is>
      </c>
    </row>
    <row r="2">
      <c r="A2" s="3" t="inlineStr">
        <is>
          <t>Cliente</t>
        </is>
      </c>
      <c r="B2" s="3" t="inlineStr">
        <is>
          <t>Activity</t>
        </is>
      </c>
      <c r="C2" s="20" t="n">
        <v>1</v>
      </c>
      <c r="D2" s="20" t="n">
        <v>2</v>
      </c>
    </row>
    <row r="3">
      <c r="A3" s="3" t="inlineStr">
        <is>
          <t>Signal-With-Start</t>
        </is>
      </c>
      <c r="B3" s="3" t="inlineStr">
        <is>
          <t>Local Activities (1 por WFT)</t>
        </is>
      </c>
      <c r="C3" s="20" t="n">
        <v>1</v>
      </c>
      <c r="D3" s="20" t="n">
        <v>1</v>
      </c>
    </row>
    <row r="4">
      <c r="A4" s="3" t="inlineStr">
        <is>
          <t>Schedule</t>
        </is>
      </c>
      <c r="B4" s="3" t="inlineStr">
        <is>
          <t>Timer / timeout SDK</t>
        </is>
      </c>
      <c r="C4" s="20" t="n">
        <v>1</v>
      </c>
      <c r="D4" s="20" t="n">
        <v>0</v>
      </c>
    </row>
    <row r="5">
      <c r="A5" s="3" t="inlineStr">
        <is>
          <t>Ninguno</t>
        </is>
      </c>
      <c r="B5" s="3" t="inlineStr">
        <is>
          <t>Signal</t>
        </is>
      </c>
      <c r="C5" s="20" t="n">
        <v>1</v>
      </c>
      <c r="D5" s="20" t="n">
        <v>1</v>
      </c>
    </row>
    <row r="6">
      <c r="B6" s="3" t="inlineStr">
        <is>
          <t>Signal externo</t>
        </is>
      </c>
      <c r="C6" s="20" t="n">
        <v>1</v>
      </c>
      <c r="D6" s="20" t="n">
        <v>1</v>
      </c>
    </row>
    <row r="7">
      <c r="B7" s="3" t="inlineStr">
        <is>
          <t>Query</t>
        </is>
      </c>
      <c r="C7" s="20" t="n">
        <v>1</v>
      </c>
      <c r="D7" s="20" t="n">
        <v>0</v>
      </c>
    </row>
    <row r="8">
      <c r="B8" s="3" t="inlineStr">
        <is>
          <t>Update</t>
        </is>
      </c>
      <c r="C8" s="20" t="n">
        <v>1</v>
      </c>
      <c r="D8" s="20" t="n">
        <v>1</v>
      </c>
    </row>
    <row r="9">
      <c r="B9" s="3" t="inlineStr">
        <is>
          <t>Child (hijo NO listado)</t>
        </is>
      </c>
      <c r="C9" s="20" t="n">
        <v>2</v>
      </c>
      <c r="D9" s="20" t="n">
        <v>1</v>
      </c>
    </row>
    <row r="10">
      <c r="B10" s="3" t="inlineStr">
        <is>
          <t>Continue-As-New</t>
        </is>
      </c>
      <c r="C10" s="20" t="n">
        <v>1</v>
      </c>
      <c r="D10" s="20" t="n">
        <v>1</v>
      </c>
    </row>
    <row r="11">
      <c r="B11" s="3" t="inlineStr">
        <is>
          <t>Upsert Search Attributes</t>
        </is>
      </c>
      <c r="C11" s="20" t="n">
        <v>1</v>
      </c>
      <c r="D11" s="20" t="n">
        <v>1</v>
      </c>
    </row>
    <row r="12">
      <c r="B12" s="3" t="inlineStr">
        <is>
          <t>Nexus Operation (caller)</t>
        </is>
      </c>
      <c r="C12" s="20" t="n">
        <v>1</v>
      </c>
      <c r="D12" s="20" t="n">
        <v>1</v>
      </c>
    </row>
    <row r="13">
      <c r="B13" s="3" t="inlineStr">
        <is>
          <t>WFT Heartbeat (LA largas)</t>
        </is>
      </c>
      <c r="C13" s="20" t="n">
        <v>1</v>
      </c>
      <c r="D13" s="2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27A48"/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30" customWidth="1" min="5" max="5"/>
    <col width="26" customWidth="1" min="6" max="6"/>
    <col width="18" customWidth="1" min="7" max="7"/>
    <col width="18" customWidth="1" min="8" max="8"/>
    <col width="16" customWidth="1" min="9" max="9"/>
    <col width="20" customWidth="1" min="10" max="10"/>
    <col width="22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21" t="inlineStr">
        <is>
          <t>Nombre (type)</t>
        </is>
      </c>
      <c r="B1" s="21" t="inlineStr">
        <is>
          <t>Ejecuciones / mes</t>
        </is>
      </c>
      <c r="C1" s="21" t="inlineStr">
        <is>
          <t>Origen</t>
        </is>
      </c>
      <c r="D1" s="21" t="inlineStr">
        <is>
          <t>Actions origen</t>
        </is>
      </c>
      <c r="E1" s="21" t="inlineStr">
        <is>
          <t>Workflow Execution Duration (h)</t>
        </is>
      </c>
      <c r="F1" s="21" t="inlineStr">
        <is>
          <t>Payload StartWorkflow (KB)</t>
        </is>
      </c>
      <c r="G1" s="21" t="inlineStr">
        <is>
          <t>Event History (KB)</t>
        </is>
      </c>
      <c r="H1" s="21" t="inlineStr">
        <is>
          <t>Actions/exec (pasos)</t>
        </is>
      </c>
      <c r="I1" s="21" t="inlineStr">
        <is>
          <t>Actions / mes</t>
        </is>
      </c>
      <c r="J1" s="21" t="inlineStr">
        <is>
          <t>Active Storage (GBh)</t>
        </is>
      </c>
      <c r="K1" s="21" t="inlineStr">
        <is>
          <t>Retained Storage (GBh)</t>
        </is>
      </c>
      <c r="L1" s="21" t="inlineStr">
        <is>
          <t>USD Actions</t>
        </is>
      </c>
      <c r="M1" s="21" t="inlineStr">
        <is>
          <t>USD Active</t>
        </is>
      </c>
      <c r="N1" s="21" t="inlineStr">
        <is>
          <t>USD Retained</t>
        </is>
      </c>
      <c r="O1" s="21" t="inlineStr">
        <is>
          <t>USD total</t>
        </is>
      </c>
    </row>
    <row r="2" ht="20" customHeight="1">
      <c r="A2" s="22" t="inlineStr">
        <is>
          <t>Pago interbancario</t>
        </is>
      </c>
      <c r="B2" s="23" t="n">
        <v>50000</v>
      </c>
      <c r="C2" s="22" t="inlineStr">
        <is>
          <t>Cliente</t>
        </is>
      </c>
      <c r="D2" s="8">
        <f>IF(A2="","",IF(C2="Signal-With-Start",1,IF(C2="Schedule",3,IF(C2="Ninguno",0,1))))</f>
        <v/>
      </c>
      <c r="E2" s="5" t="n">
        <v>0.4</v>
      </c>
      <c r="F2" s="5" t="n">
        <v>8</v>
      </c>
      <c r="G2" s="16">
        <f>IF(A2="","",MAX(0,N(F2))+SUMIF(Pasos!$A$2:$A$151,A2,Pasos!$K$2:$K$151))</f>
        <v/>
      </c>
      <c r="H2" s="16">
        <f>IF(A2="","",SUMIF(Pasos!$A$2:$A$151,A2,Pasos!$J$2:$J$151))</f>
        <v/>
      </c>
      <c r="I2" s="10">
        <f>IF(A2="","",MAX(0,N(B2))*(D2+H2))</f>
        <v/>
      </c>
      <c r="J2" s="12">
        <f>IF(A2="","",MAX(0,N(B2))*(MAX(0,N(G2))/1000000)*MAX(0,N(E2)))</f>
        <v/>
      </c>
      <c r="K2" s="12">
        <f>IF(A2="","",MAX(0,N(B2))*(MAX(0,N(G2))/1000000)*MAX(0,N(RETENTION_DIAS))*24)</f>
        <v/>
      </c>
      <c r="L2" s="11">
        <f>IF(A2="","",I2/1000000*RATE_ACTIONS)</f>
        <v/>
      </c>
      <c r="M2" s="11">
        <f>IF(A2="","",J2*RATE_ACTIVE)</f>
        <v/>
      </c>
      <c r="N2" s="11">
        <f>IF(A2="","",K2*RATE_RETAINED)</f>
        <v/>
      </c>
      <c r="O2" s="11">
        <f>IF(A2="","",L2+M2+N2)</f>
        <v/>
      </c>
    </row>
    <row r="3" ht="20" customHeight="1">
      <c r="A3" s="22" t="inlineStr">
        <is>
          <t>Alta de cliente</t>
        </is>
      </c>
      <c r="B3" s="23" t="n">
        <v>8000</v>
      </c>
      <c r="C3" s="22" t="inlineStr">
        <is>
          <t>Schedule</t>
        </is>
      </c>
      <c r="D3" s="8">
        <f>IF(A3="","",IF(C3="Signal-With-Start",1,IF(C3="Schedule",3,IF(C3="Ninguno",0,1))))</f>
        <v/>
      </c>
      <c r="E3" s="5" t="n">
        <v>2.5</v>
      </c>
      <c r="F3" s="5" t="n">
        <v>16</v>
      </c>
      <c r="G3" s="16">
        <f>IF(A3="","",MAX(0,N(F3))+SUMIF(Pasos!$A$2:$A$151,A3,Pasos!$K$2:$K$151))</f>
        <v/>
      </c>
      <c r="H3" s="16">
        <f>IF(A3="","",SUMIF(Pasos!$A$2:$A$151,A3,Pasos!$J$2:$J$151))</f>
        <v/>
      </c>
      <c r="I3" s="10">
        <f>IF(A3="","",MAX(0,N(B3))*(D3+H3))</f>
        <v/>
      </c>
      <c r="J3" s="12">
        <f>IF(A3="","",MAX(0,N(B3))*(MAX(0,N(G3))/1000000)*MAX(0,N(E3)))</f>
        <v/>
      </c>
      <c r="K3" s="12">
        <f>IF(A3="","",MAX(0,N(B3))*(MAX(0,N(G3))/1000000)*MAX(0,N(RETENTION_DIAS))*24)</f>
        <v/>
      </c>
      <c r="L3" s="11">
        <f>IF(A3="","",I3/1000000*RATE_ACTIONS)</f>
        <v/>
      </c>
      <c r="M3" s="11">
        <f>IF(A3="","",J3*RATE_ACTIVE)</f>
        <v/>
      </c>
      <c r="N3" s="11">
        <f>IF(A3="","",K3*RATE_RETAINED)</f>
        <v/>
      </c>
      <c r="O3" s="11">
        <f>IF(A3="","",L3+M3+N3)</f>
        <v/>
      </c>
    </row>
    <row r="4" ht="20" customHeight="1">
      <c r="A4" s="22" t="inlineStr"/>
      <c r="B4" s="23" t="n"/>
      <c r="C4" s="22" t="inlineStr"/>
      <c r="D4" s="8">
        <f>IF(A4="","",IF(C4="Signal-With-Start",1,IF(C4="Schedule",3,IF(C4="Ninguno",0,1))))</f>
        <v/>
      </c>
      <c r="E4" s="5" t="n"/>
      <c r="F4" s="5" t="n"/>
      <c r="G4" s="16">
        <f>IF(A4="","",MAX(0,N(F4))+SUMIF(Pasos!$A$2:$A$151,A4,Pasos!$K$2:$K$151))</f>
        <v/>
      </c>
      <c r="H4" s="16">
        <f>IF(A4="","",SUMIF(Pasos!$A$2:$A$151,A4,Pasos!$J$2:$J$151))</f>
        <v/>
      </c>
      <c r="I4" s="10">
        <f>IF(A4="","",MAX(0,N(B4))*(D4+H4))</f>
        <v/>
      </c>
      <c r="J4" s="12">
        <f>IF(A4="","",MAX(0,N(B4))*(MAX(0,N(G4))/1000000)*MAX(0,N(E4)))</f>
        <v/>
      </c>
      <c r="K4" s="12">
        <f>IF(A4="","",MAX(0,N(B4))*(MAX(0,N(G4))/1000000)*MAX(0,N(RETENTION_DIAS))*24)</f>
        <v/>
      </c>
      <c r="L4" s="11">
        <f>IF(A4="","",I4/1000000*RATE_ACTIONS)</f>
        <v/>
      </c>
      <c r="M4" s="11">
        <f>IF(A4="","",J4*RATE_ACTIVE)</f>
        <v/>
      </c>
      <c r="N4" s="11">
        <f>IF(A4="","",K4*RATE_RETAINED)</f>
        <v/>
      </c>
      <c r="O4" s="11">
        <f>IF(A4="","",L4+M4+N4)</f>
        <v/>
      </c>
    </row>
    <row r="5" ht="20" customHeight="1">
      <c r="A5" s="22" t="inlineStr"/>
      <c r="B5" s="23" t="n"/>
      <c r="C5" s="22" t="inlineStr"/>
      <c r="D5" s="8">
        <f>IF(A5="","",IF(C5="Signal-With-Start",1,IF(C5="Schedule",3,IF(C5="Ninguno",0,1))))</f>
        <v/>
      </c>
      <c r="E5" s="5" t="n"/>
      <c r="F5" s="5" t="n"/>
      <c r="G5" s="16">
        <f>IF(A5="","",MAX(0,N(F5))+SUMIF(Pasos!$A$2:$A$151,A5,Pasos!$K$2:$K$151))</f>
        <v/>
      </c>
      <c r="H5" s="16">
        <f>IF(A5="","",SUMIF(Pasos!$A$2:$A$151,A5,Pasos!$J$2:$J$151))</f>
        <v/>
      </c>
      <c r="I5" s="10">
        <f>IF(A5="","",MAX(0,N(B5))*(D5+H5))</f>
        <v/>
      </c>
      <c r="J5" s="12">
        <f>IF(A5="","",MAX(0,N(B5))*(MAX(0,N(G5))/1000000)*MAX(0,N(E5)))</f>
        <v/>
      </c>
      <c r="K5" s="12">
        <f>IF(A5="","",MAX(0,N(B5))*(MAX(0,N(G5))/1000000)*MAX(0,N(RETENTION_DIAS))*24)</f>
        <v/>
      </c>
      <c r="L5" s="11">
        <f>IF(A5="","",I5/1000000*RATE_ACTIONS)</f>
        <v/>
      </c>
      <c r="M5" s="11">
        <f>IF(A5="","",J5*RATE_ACTIVE)</f>
        <v/>
      </c>
      <c r="N5" s="11">
        <f>IF(A5="","",K5*RATE_RETAINED)</f>
        <v/>
      </c>
      <c r="O5" s="11">
        <f>IF(A5="","",L5+M5+N5)</f>
        <v/>
      </c>
    </row>
    <row r="6" ht="20" customHeight="1">
      <c r="A6" s="22" t="inlineStr"/>
      <c r="B6" s="23" t="n"/>
      <c r="C6" s="22" t="inlineStr"/>
      <c r="D6" s="8">
        <f>IF(A6="","",IF(C6="Signal-With-Start",1,IF(C6="Schedule",3,IF(C6="Ninguno",0,1))))</f>
        <v/>
      </c>
      <c r="E6" s="5" t="n"/>
      <c r="F6" s="5" t="n"/>
      <c r="G6" s="16">
        <f>IF(A6="","",MAX(0,N(F6))+SUMIF(Pasos!$A$2:$A$151,A6,Pasos!$K$2:$K$151))</f>
        <v/>
      </c>
      <c r="H6" s="16">
        <f>IF(A6="","",SUMIF(Pasos!$A$2:$A$151,A6,Pasos!$J$2:$J$151))</f>
        <v/>
      </c>
      <c r="I6" s="10">
        <f>IF(A6="","",MAX(0,N(B6))*(D6+H6))</f>
        <v/>
      </c>
      <c r="J6" s="12">
        <f>IF(A6="","",MAX(0,N(B6))*(MAX(0,N(G6))/1000000)*MAX(0,N(E6)))</f>
        <v/>
      </c>
      <c r="K6" s="12">
        <f>IF(A6="","",MAX(0,N(B6))*(MAX(0,N(G6))/1000000)*MAX(0,N(RETENTION_DIAS))*24)</f>
        <v/>
      </c>
      <c r="L6" s="11">
        <f>IF(A6="","",I6/1000000*RATE_ACTIONS)</f>
        <v/>
      </c>
      <c r="M6" s="11">
        <f>IF(A6="","",J6*RATE_ACTIVE)</f>
        <v/>
      </c>
      <c r="N6" s="11">
        <f>IF(A6="","",K6*RATE_RETAINED)</f>
        <v/>
      </c>
      <c r="O6" s="11">
        <f>IF(A6="","",L6+M6+N6)</f>
        <v/>
      </c>
    </row>
    <row r="7" ht="20" customHeight="1">
      <c r="A7" s="22" t="inlineStr"/>
      <c r="B7" s="23" t="n"/>
      <c r="C7" s="22" t="inlineStr"/>
      <c r="D7" s="8">
        <f>IF(A7="","",IF(C7="Signal-With-Start",1,IF(C7="Schedule",3,IF(C7="Ninguno",0,1))))</f>
        <v/>
      </c>
      <c r="E7" s="5" t="n"/>
      <c r="F7" s="5" t="n"/>
      <c r="G7" s="16">
        <f>IF(A7="","",MAX(0,N(F7))+SUMIF(Pasos!$A$2:$A$151,A7,Pasos!$K$2:$K$151))</f>
        <v/>
      </c>
      <c r="H7" s="16">
        <f>IF(A7="","",SUMIF(Pasos!$A$2:$A$151,A7,Pasos!$J$2:$J$151))</f>
        <v/>
      </c>
      <c r="I7" s="10">
        <f>IF(A7="","",MAX(0,N(B7))*(D7+H7))</f>
        <v/>
      </c>
      <c r="J7" s="12">
        <f>IF(A7="","",MAX(0,N(B7))*(MAX(0,N(G7))/1000000)*MAX(0,N(E7)))</f>
        <v/>
      </c>
      <c r="K7" s="12">
        <f>IF(A7="","",MAX(0,N(B7))*(MAX(0,N(G7))/1000000)*MAX(0,N(RETENTION_DIAS))*24)</f>
        <v/>
      </c>
      <c r="L7" s="11">
        <f>IF(A7="","",I7/1000000*RATE_ACTIONS)</f>
        <v/>
      </c>
      <c r="M7" s="11">
        <f>IF(A7="","",J7*RATE_ACTIVE)</f>
        <v/>
      </c>
      <c r="N7" s="11">
        <f>IF(A7="","",K7*RATE_RETAINED)</f>
        <v/>
      </c>
      <c r="O7" s="11">
        <f>IF(A7="","",L7+M7+N7)</f>
        <v/>
      </c>
    </row>
    <row r="8" ht="20" customHeight="1">
      <c r="A8" s="22" t="inlineStr"/>
      <c r="B8" s="23" t="n"/>
      <c r="C8" s="22" t="inlineStr"/>
      <c r="D8" s="8">
        <f>IF(A8="","",IF(C8="Signal-With-Start",1,IF(C8="Schedule",3,IF(C8="Ninguno",0,1))))</f>
        <v/>
      </c>
      <c r="E8" s="5" t="n"/>
      <c r="F8" s="5" t="n"/>
      <c r="G8" s="16">
        <f>IF(A8="","",MAX(0,N(F8))+SUMIF(Pasos!$A$2:$A$151,A8,Pasos!$K$2:$K$151))</f>
        <v/>
      </c>
      <c r="H8" s="16">
        <f>IF(A8="","",SUMIF(Pasos!$A$2:$A$151,A8,Pasos!$J$2:$J$151))</f>
        <v/>
      </c>
      <c r="I8" s="10">
        <f>IF(A8="","",MAX(0,N(B8))*(D8+H8))</f>
        <v/>
      </c>
      <c r="J8" s="12">
        <f>IF(A8="","",MAX(0,N(B8))*(MAX(0,N(G8))/1000000)*MAX(0,N(E8)))</f>
        <v/>
      </c>
      <c r="K8" s="12">
        <f>IF(A8="","",MAX(0,N(B8))*(MAX(0,N(G8))/1000000)*MAX(0,N(RETENTION_DIAS))*24)</f>
        <v/>
      </c>
      <c r="L8" s="11">
        <f>IF(A8="","",I8/1000000*RATE_ACTIONS)</f>
        <v/>
      </c>
      <c r="M8" s="11">
        <f>IF(A8="","",J8*RATE_ACTIVE)</f>
        <v/>
      </c>
      <c r="N8" s="11">
        <f>IF(A8="","",K8*RATE_RETAINED)</f>
        <v/>
      </c>
      <c r="O8" s="11">
        <f>IF(A8="","",L8+M8+N8)</f>
        <v/>
      </c>
    </row>
    <row r="9" ht="20" customHeight="1">
      <c r="A9" s="22" t="inlineStr"/>
      <c r="B9" s="23" t="n"/>
      <c r="C9" s="22" t="inlineStr"/>
      <c r="D9" s="8">
        <f>IF(A9="","",IF(C9="Signal-With-Start",1,IF(C9="Schedule",3,IF(C9="Ninguno",0,1))))</f>
        <v/>
      </c>
      <c r="E9" s="5" t="n"/>
      <c r="F9" s="5" t="n"/>
      <c r="G9" s="16">
        <f>IF(A9="","",MAX(0,N(F9))+SUMIF(Pasos!$A$2:$A$151,A9,Pasos!$K$2:$K$151))</f>
        <v/>
      </c>
      <c r="H9" s="16">
        <f>IF(A9="","",SUMIF(Pasos!$A$2:$A$151,A9,Pasos!$J$2:$J$151))</f>
        <v/>
      </c>
      <c r="I9" s="10">
        <f>IF(A9="","",MAX(0,N(B9))*(D9+H9))</f>
        <v/>
      </c>
      <c r="J9" s="12">
        <f>IF(A9="","",MAX(0,N(B9))*(MAX(0,N(G9))/1000000)*MAX(0,N(E9)))</f>
        <v/>
      </c>
      <c r="K9" s="12">
        <f>IF(A9="","",MAX(0,N(B9))*(MAX(0,N(G9))/1000000)*MAX(0,N(RETENTION_DIAS))*24)</f>
        <v/>
      </c>
      <c r="L9" s="11">
        <f>IF(A9="","",I9/1000000*RATE_ACTIONS)</f>
        <v/>
      </c>
      <c r="M9" s="11">
        <f>IF(A9="","",J9*RATE_ACTIVE)</f>
        <v/>
      </c>
      <c r="N9" s="11">
        <f>IF(A9="","",K9*RATE_RETAINED)</f>
        <v/>
      </c>
      <c r="O9" s="11">
        <f>IF(A9="","",L9+M9+N9)</f>
        <v/>
      </c>
    </row>
    <row r="10" ht="20" customHeight="1">
      <c r="A10" s="22" t="inlineStr"/>
      <c r="B10" s="23" t="n"/>
      <c r="C10" s="22" t="inlineStr"/>
      <c r="D10" s="8">
        <f>IF(A10="","",IF(C10="Signal-With-Start",1,IF(C10="Schedule",3,IF(C10="Ninguno",0,1))))</f>
        <v/>
      </c>
      <c r="E10" s="5" t="n"/>
      <c r="F10" s="5" t="n"/>
      <c r="G10" s="16">
        <f>IF(A10="","",MAX(0,N(F10))+SUMIF(Pasos!$A$2:$A$151,A10,Pasos!$K$2:$K$151))</f>
        <v/>
      </c>
      <c r="H10" s="16">
        <f>IF(A10="","",SUMIF(Pasos!$A$2:$A$151,A10,Pasos!$J$2:$J$151))</f>
        <v/>
      </c>
      <c r="I10" s="10">
        <f>IF(A10="","",MAX(0,N(B10))*(D10+H10))</f>
        <v/>
      </c>
      <c r="J10" s="12">
        <f>IF(A10="","",MAX(0,N(B10))*(MAX(0,N(G10))/1000000)*MAX(0,N(E10)))</f>
        <v/>
      </c>
      <c r="K10" s="12">
        <f>IF(A10="","",MAX(0,N(B10))*(MAX(0,N(G10))/1000000)*MAX(0,N(RETENTION_DIAS))*24)</f>
        <v/>
      </c>
      <c r="L10" s="11">
        <f>IF(A10="","",I10/1000000*RATE_ACTIONS)</f>
        <v/>
      </c>
      <c r="M10" s="11">
        <f>IF(A10="","",J10*RATE_ACTIVE)</f>
        <v/>
      </c>
      <c r="N10" s="11">
        <f>IF(A10="","",K10*RATE_RETAINED)</f>
        <v/>
      </c>
      <c r="O10" s="11">
        <f>IF(A10="","",L10+M10+N10)</f>
        <v/>
      </c>
    </row>
    <row r="11" ht="20" customHeight="1">
      <c r="A11" s="22" t="inlineStr"/>
      <c r="B11" s="23" t="n"/>
      <c r="C11" s="22" t="inlineStr"/>
      <c r="D11" s="8">
        <f>IF(A11="","",IF(C11="Signal-With-Start",1,IF(C11="Schedule",3,IF(C11="Ninguno",0,1))))</f>
        <v/>
      </c>
      <c r="E11" s="5" t="n"/>
      <c r="F11" s="5" t="n"/>
      <c r="G11" s="16">
        <f>IF(A11="","",MAX(0,N(F11))+SUMIF(Pasos!$A$2:$A$151,A11,Pasos!$K$2:$K$151))</f>
        <v/>
      </c>
      <c r="H11" s="16">
        <f>IF(A11="","",SUMIF(Pasos!$A$2:$A$151,A11,Pasos!$J$2:$J$151))</f>
        <v/>
      </c>
      <c r="I11" s="10">
        <f>IF(A11="","",MAX(0,N(B11))*(D11+H11))</f>
        <v/>
      </c>
      <c r="J11" s="12">
        <f>IF(A11="","",MAX(0,N(B11))*(MAX(0,N(G11))/1000000)*MAX(0,N(E11)))</f>
        <v/>
      </c>
      <c r="K11" s="12">
        <f>IF(A11="","",MAX(0,N(B11))*(MAX(0,N(G11))/1000000)*MAX(0,N(RETENTION_DIAS))*24)</f>
        <v/>
      </c>
      <c r="L11" s="11">
        <f>IF(A11="","",I11/1000000*RATE_ACTIONS)</f>
        <v/>
      </c>
      <c r="M11" s="11">
        <f>IF(A11="","",J11*RATE_ACTIVE)</f>
        <v/>
      </c>
      <c r="N11" s="11">
        <f>IF(A11="","",K11*RATE_RETAINED)</f>
        <v/>
      </c>
      <c r="O11" s="11">
        <f>IF(A11="","",L11+M11+N11)</f>
        <v/>
      </c>
    </row>
    <row r="12" ht="20" customHeight="1">
      <c r="A12" s="22" t="inlineStr"/>
      <c r="B12" s="23" t="n"/>
      <c r="C12" s="22" t="inlineStr"/>
      <c r="D12" s="8">
        <f>IF(A12="","",IF(C12="Signal-With-Start",1,IF(C12="Schedule",3,IF(C12="Ninguno",0,1))))</f>
        <v/>
      </c>
      <c r="E12" s="5" t="n"/>
      <c r="F12" s="5" t="n"/>
      <c r="G12" s="16">
        <f>IF(A12="","",MAX(0,N(F12))+SUMIF(Pasos!$A$2:$A$151,A12,Pasos!$K$2:$K$151))</f>
        <v/>
      </c>
      <c r="H12" s="16">
        <f>IF(A12="","",SUMIF(Pasos!$A$2:$A$151,A12,Pasos!$J$2:$J$151))</f>
        <v/>
      </c>
      <c r="I12" s="10">
        <f>IF(A12="","",MAX(0,N(B12))*(D12+H12))</f>
        <v/>
      </c>
      <c r="J12" s="12">
        <f>IF(A12="","",MAX(0,N(B12))*(MAX(0,N(G12))/1000000)*MAX(0,N(E12)))</f>
        <v/>
      </c>
      <c r="K12" s="12">
        <f>IF(A12="","",MAX(0,N(B12))*(MAX(0,N(G12))/1000000)*MAX(0,N(RETENTION_DIAS))*24)</f>
        <v/>
      </c>
      <c r="L12" s="11">
        <f>IF(A12="","",I12/1000000*RATE_ACTIONS)</f>
        <v/>
      </c>
      <c r="M12" s="11">
        <f>IF(A12="","",J12*RATE_ACTIVE)</f>
        <v/>
      </c>
      <c r="N12" s="11">
        <f>IF(A12="","",K12*RATE_RETAINED)</f>
        <v/>
      </c>
      <c r="O12" s="11">
        <f>IF(A12="","",L12+M12+N12)</f>
        <v/>
      </c>
    </row>
    <row r="13" ht="20" customHeight="1">
      <c r="A13" s="22" t="inlineStr"/>
      <c r="B13" s="23" t="n"/>
      <c r="C13" s="22" t="inlineStr"/>
      <c r="D13" s="8">
        <f>IF(A13="","",IF(C13="Signal-With-Start",1,IF(C13="Schedule",3,IF(C13="Ninguno",0,1))))</f>
        <v/>
      </c>
      <c r="E13" s="5" t="n"/>
      <c r="F13" s="5" t="n"/>
      <c r="G13" s="16">
        <f>IF(A13="","",MAX(0,N(F13))+SUMIF(Pasos!$A$2:$A$151,A13,Pasos!$K$2:$K$151))</f>
        <v/>
      </c>
      <c r="H13" s="16">
        <f>IF(A13="","",SUMIF(Pasos!$A$2:$A$151,A13,Pasos!$J$2:$J$151))</f>
        <v/>
      </c>
      <c r="I13" s="10">
        <f>IF(A13="","",MAX(0,N(B13))*(D13+H13))</f>
        <v/>
      </c>
      <c r="J13" s="12">
        <f>IF(A13="","",MAX(0,N(B13))*(MAX(0,N(G13))/1000000)*MAX(0,N(E13)))</f>
        <v/>
      </c>
      <c r="K13" s="12">
        <f>IF(A13="","",MAX(0,N(B13))*(MAX(0,N(G13))/1000000)*MAX(0,N(RETENTION_DIAS))*24)</f>
        <v/>
      </c>
      <c r="L13" s="11">
        <f>IF(A13="","",I13/1000000*RATE_ACTIONS)</f>
        <v/>
      </c>
      <c r="M13" s="11">
        <f>IF(A13="","",J13*RATE_ACTIVE)</f>
        <v/>
      </c>
      <c r="N13" s="11">
        <f>IF(A13="","",K13*RATE_RETAINED)</f>
        <v/>
      </c>
      <c r="O13" s="11">
        <f>IF(A13="","",L13+M13+N13)</f>
        <v/>
      </c>
    </row>
    <row r="14" ht="20" customHeight="1">
      <c r="A14" s="22" t="inlineStr"/>
      <c r="B14" s="23" t="n"/>
      <c r="C14" s="22" t="inlineStr"/>
      <c r="D14" s="8">
        <f>IF(A14="","",IF(C14="Signal-With-Start",1,IF(C14="Schedule",3,IF(C14="Ninguno",0,1))))</f>
        <v/>
      </c>
      <c r="E14" s="5" t="n"/>
      <c r="F14" s="5" t="n"/>
      <c r="G14" s="16">
        <f>IF(A14="","",MAX(0,N(F14))+SUMIF(Pasos!$A$2:$A$151,A14,Pasos!$K$2:$K$151))</f>
        <v/>
      </c>
      <c r="H14" s="16">
        <f>IF(A14="","",SUMIF(Pasos!$A$2:$A$151,A14,Pasos!$J$2:$J$151))</f>
        <v/>
      </c>
      <c r="I14" s="10">
        <f>IF(A14="","",MAX(0,N(B14))*(D14+H14))</f>
        <v/>
      </c>
      <c r="J14" s="12">
        <f>IF(A14="","",MAX(0,N(B14))*(MAX(0,N(G14))/1000000)*MAX(0,N(E14)))</f>
        <v/>
      </c>
      <c r="K14" s="12">
        <f>IF(A14="","",MAX(0,N(B14))*(MAX(0,N(G14))/1000000)*MAX(0,N(RETENTION_DIAS))*24)</f>
        <v/>
      </c>
      <c r="L14" s="11">
        <f>IF(A14="","",I14/1000000*RATE_ACTIONS)</f>
        <v/>
      </c>
      <c r="M14" s="11">
        <f>IF(A14="","",J14*RATE_ACTIVE)</f>
        <v/>
      </c>
      <c r="N14" s="11">
        <f>IF(A14="","",K14*RATE_RETAINED)</f>
        <v/>
      </c>
      <c r="O14" s="11">
        <f>IF(A14="","",L14+M14+N14)</f>
        <v/>
      </c>
    </row>
    <row r="15" ht="20" customHeight="1">
      <c r="A15" s="22" t="inlineStr"/>
      <c r="B15" s="23" t="n"/>
      <c r="C15" s="22" t="inlineStr"/>
      <c r="D15" s="8">
        <f>IF(A15="","",IF(C15="Signal-With-Start",1,IF(C15="Schedule",3,IF(C15="Ninguno",0,1))))</f>
        <v/>
      </c>
      <c r="E15" s="5" t="n"/>
      <c r="F15" s="5" t="n"/>
      <c r="G15" s="16">
        <f>IF(A15="","",MAX(0,N(F15))+SUMIF(Pasos!$A$2:$A$151,A15,Pasos!$K$2:$K$151))</f>
        <v/>
      </c>
      <c r="H15" s="16">
        <f>IF(A15="","",SUMIF(Pasos!$A$2:$A$151,A15,Pasos!$J$2:$J$151))</f>
        <v/>
      </c>
      <c r="I15" s="10">
        <f>IF(A15="","",MAX(0,N(B15))*(D15+H15))</f>
        <v/>
      </c>
      <c r="J15" s="12">
        <f>IF(A15="","",MAX(0,N(B15))*(MAX(0,N(G15))/1000000)*MAX(0,N(E15)))</f>
        <v/>
      </c>
      <c r="K15" s="12">
        <f>IF(A15="","",MAX(0,N(B15))*(MAX(0,N(G15))/1000000)*MAX(0,N(RETENTION_DIAS))*24)</f>
        <v/>
      </c>
      <c r="L15" s="11">
        <f>IF(A15="","",I15/1000000*RATE_ACTIONS)</f>
        <v/>
      </c>
      <c r="M15" s="11">
        <f>IF(A15="","",J15*RATE_ACTIVE)</f>
        <v/>
      </c>
      <c r="N15" s="11">
        <f>IF(A15="","",K15*RATE_RETAINED)</f>
        <v/>
      </c>
      <c r="O15" s="11">
        <f>IF(A15="","",L15+M15+N15)</f>
        <v/>
      </c>
    </row>
    <row r="16" ht="20" customHeight="1">
      <c r="A16" s="22" t="inlineStr"/>
      <c r="B16" s="23" t="n"/>
      <c r="C16" s="22" t="inlineStr"/>
      <c r="D16" s="8">
        <f>IF(A16="","",IF(C16="Signal-With-Start",1,IF(C16="Schedule",3,IF(C16="Ninguno",0,1))))</f>
        <v/>
      </c>
      <c r="E16" s="5" t="n"/>
      <c r="F16" s="5" t="n"/>
      <c r="G16" s="16">
        <f>IF(A16="","",MAX(0,N(F16))+SUMIF(Pasos!$A$2:$A$151,A16,Pasos!$K$2:$K$151))</f>
        <v/>
      </c>
      <c r="H16" s="16">
        <f>IF(A16="","",SUMIF(Pasos!$A$2:$A$151,A16,Pasos!$J$2:$J$151))</f>
        <v/>
      </c>
      <c r="I16" s="10">
        <f>IF(A16="","",MAX(0,N(B16))*(D16+H16))</f>
        <v/>
      </c>
      <c r="J16" s="12">
        <f>IF(A16="","",MAX(0,N(B16))*(MAX(0,N(G16))/1000000)*MAX(0,N(E16)))</f>
        <v/>
      </c>
      <c r="K16" s="12">
        <f>IF(A16="","",MAX(0,N(B16))*(MAX(0,N(G16))/1000000)*MAX(0,N(RETENTION_DIAS))*24)</f>
        <v/>
      </c>
      <c r="L16" s="11">
        <f>IF(A16="","",I16/1000000*RATE_ACTIONS)</f>
        <v/>
      </c>
      <c r="M16" s="11">
        <f>IF(A16="","",J16*RATE_ACTIVE)</f>
        <v/>
      </c>
      <c r="N16" s="11">
        <f>IF(A16="","",K16*RATE_RETAINED)</f>
        <v/>
      </c>
      <c r="O16" s="11">
        <f>IF(A16="","",L16+M16+N16)</f>
        <v/>
      </c>
    </row>
    <row r="17" ht="20" customHeight="1">
      <c r="A17" s="22" t="inlineStr"/>
      <c r="B17" s="23" t="n"/>
      <c r="C17" s="22" t="inlineStr"/>
      <c r="D17" s="8">
        <f>IF(A17="","",IF(C17="Signal-With-Start",1,IF(C17="Schedule",3,IF(C17="Ninguno",0,1))))</f>
        <v/>
      </c>
      <c r="E17" s="5" t="n"/>
      <c r="F17" s="5" t="n"/>
      <c r="G17" s="16">
        <f>IF(A17="","",MAX(0,N(F17))+SUMIF(Pasos!$A$2:$A$151,A17,Pasos!$K$2:$K$151))</f>
        <v/>
      </c>
      <c r="H17" s="16">
        <f>IF(A17="","",SUMIF(Pasos!$A$2:$A$151,A17,Pasos!$J$2:$J$151))</f>
        <v/>
      </c>
      <c r="I17" s="10">
        <f>IF(A17="","",MAX(0,N(B17))*(D17+H17))</f>
        <v/>
      </c>
      <c r="J17" s="12">
        <f>IF(A17="","",MAX(0,N(B17))*(MAX(0,N(G17))/1000000)*MAX(0,N(E17)))</f>
        <v/>
      </c>
      <c r="K17" s="12">
        <f>IF(A17="","",MAX(0,N(B17))*(MAX(0,N(G17))/1000000)*MAX(0,N(RETENTION_DIAS))*24)</f>
        <v/>
      </c>
      <c r="L17" s="11">
        <f>IF(A17="","",I17/1000000*RATE_ACTIONS)</f>
        <v/>
      </c>
      <c r="M17" s="11">
        <f>IF(A17="","",J17*RATE_ACTIVE)</f>
        <v/>
      </c>
      <c r="N17" s="11">
        <f>IF(A17="","",K17*RATE_RETAINED)</f>
        <v/>
      </c>
      <c r="O17" s="11">
        <f>IF(A17="","",L17+M17+N17)</f>
        <v/>
      </c>
    </row>
    <row r="18" ht="20" customHeight="1">
      <c r="A18" s="22" t="inlineStr"/>
      <c r="B18" s="23" t="n"/>
      <c r="C18" s="22" t="inlineStr"/>
      <c r="D18" s="8">
        <f>IF(A18="","",IF(C18="Signal-With-Start",1,IF(C18="Schedule",3,IF(C18="Ninguno",0,1))))</f>
        <v/>
      </c>
      <c r="E18" s="5" t="n"/>
      <c r="F18" s="5" t="n"/>
      <c r="G18" s="16">
        <f>IF(A18="","",MAX(0,N(F18))+SUMIF(Pasos!$A$2:$A$151,A18,Pasos!$K$2:$K$151))</f>
        <v/>
      </c>
      <c r="H18" s="16">
        <f>IF(A18="","",SUMIF(Pasos!$A$2:$A$151,A18,Pasos!$J$2:$J$151))</f>
        <v/>
      </c>
      <c r="I18" s="10">
        <f>IF(A18="","",MAX(0,N(B18))*(D18+H18))</f>
        <v/>
      </c>
      <c r="J18" s="12">
        <f>IF(A18="","",MAX(0,N(B18))*(MAX(0,N(G18))/1000000)*MAX(0,N(E18)))</f>
        <v/>
      </c>
      <c r="K18" s="12">
        <f>IF(A18="","",MAX(0,N(B18))*(MAX(0,N(G18))/1000000)*MAX(0,N(RETENTION_DIAS))*24)</f>
        <v/>
      </c>
      <c r="L18" s="11">
        <f>IF(A18="","",I18/1000000*RATE_ACTIONS)</f>
        <v/>
      </c>
      <c r="M18" s="11">
        <f>IF(A18="","",J18*RATE_ACTIVE)</f>
        <v/>
      </c>
      <c r="N18" s="11">
        <f>IF(A18="","",K18*RATE_RETAINED)</f>
        <v/>
      </c>
      <c r="O18" s="11">
        <f>IF(A18="","",L18+M18+N18)</f>
        <v/>
      </c>
    </row>
    <row r="19" ht="20" customHeight="1">
      <c r="A19" s="22" t="inlineStr"/>
      <c r="B19" s="23" t="n"/>
      <c r="C19" s="22" t="inlineStr"/>
      <c r="D19" s="8">
        <f>IF(A19="","",IF(C19="Signal-With-Start",1,IF(C19="Schedule",3,IF(C19="Ninguno",0,1))))</f>
        <v/>
      </c>
      <c r="E19" s="5" t="n"/>
      <c r="F19" s="5" t="n"/>
      <c r="G19" s="16">
        <f>IF(A19="","",MAX(0,N(F19))+SUMIF(Pasos!$A$2:$A$151,A19,Pasos!$K$2:$K$151))</f>
        <v/>
      </c>
      <c r="H19" s="16">
        <f>IF(A19="","",SUMIF(Pasos!$A$2:$A$151,A19,Pasos!$J$2:$J$151))</f>
        <v/>
      </c>
      <c r="I19" s="10">
        <f>IF(A19="","",MAX(0,N(B19))*(D19+H19))</f>
        <v/>
      </c>
      <c r="J19" s="12">
        <f>IF(A19="","",MAX(0,N(B19))*(MAX(0,N(G19))/1000000)*MAX(0,N(E19)))</f>
        <v/>
      </c>
      <c r="K19" s="12">
        <f>IF(A19="","",MAX(0,N(B19))*(MAX(0,N(G19))/1000000)*MAX(0,N(RETENTION_DIAS))*24)</f>
        <v/>
      </c>
      <c r="L19" s="11">
        <f>IF(A19="","",I19/1000000*RATE_ACTIONS)</f>
        <v/>
      </c>
      <c r="M19" s="11">
        <f>IF(A19="","",J19*RATE_ACTIVE)</f>
        <v/>
      </c>
      <c r="N19" s="11">
        <f>IF(A19="","",K19*RATE_RETAINED)</f>
        <v/>
      </c>
      <c r="O19" s="11">
        <f>IF(A19="","",L19+M19+N19)</f>
        <v/>
      </c>
    </row>
    <row r="20" ht="20" customHeight="1">
      <c r="A20" s="22" t="inlineStr"/>
      <c r="B20" s="23" t="n"/>
      <c r="C20" s="22" t="inlineStr"/>
      <c r="D20" s="8">
        <f>IF(A20="","",IF(C20="Signal-With-Start",1,IF(C20="Schedule",3,IF(C20="Ninguno",0,1))))</f>
        <v/>
      </c>
      <c r="E20" s="5" t="n"/>
      <c r="F20" s="5" t="n"/>
      <c r="G20" s="16">
        <f>IF(A20="","",MAX(0,N(F20))+SUMIF(Pasos!$A$2:$A$151,A20,Pasos!$K$2:$K$151))</f>
        <v/>
      </c>
      <c r="H20" s="16">
        <f>IF(A20="","",SUMIF(Pasos!$A$2:$A$151,A20,Pasos!$J$2:$J$151))</f>
        <v/>
      </c>
      <c r="I20" s="10">
        <f>IF(A20="","",MAX(0,N(B20))*(D20+H20))</f>
        <v/>
      </c>
      <c r="J20" s="12">
        <f>IF(A20="","",MAX(0,N(B20))*(MAX(0,N(G20))/1000000)*MAX(0,N(E20)))</f>
        <v/>
      </c>
      <c r="K20" s="12">
        <f>IF(A20="","",MAX(0,N(B20))*(MAX(0,N(G20))/1000000)*MAX(0,N(RETENTION_DIAS))*24)</f>
        <v/>
      </c>
      <c r="L20" s="11">
        <f>IF(A20="","",I20/1000000*RATE_ACTIONS)</f>
        <v/>
      </c>
      <c r="M20" s="11">
        <f>IF(A20="","",J20*RATE_ACTIVE)</f>
        <v/>
      </c>
      <c r="N20" s="11">
        <f>IF(A20="","",K20*RATE_RETAINED)</f>
        <v/>
      </c>
      <c r="O20" s="11">
        <f>IF(A20="","",L20+M20+N20)</f>
        <v/>
      </c>
    </row>
    <row r="21" ht="20" customHeight="1">
      <c r="A21" s="22" t="inlineStr"/>
      <c r="B21" s="23" t="n"/>
      <c r="C21" s="22" t="inlineStr"/>
      <c r="D21" s="8">
        <f>IF(A21="","",IF(C21="Signal-With-Start",1,IF(C21="Schedule",3,IF(C21="Ninguno",0,1))))</f>
        <v/>
      </c>
      <c r="E21" s="5" t="n"/>
      <c r="F21" s="5" t="n"/>
      <c r="G21" s="16">
        <f>IF(A21="","",MAX(0,N(F21))+SUMIF(Pasos!$A$2:$A$151,A21,Pasos!$K$2:$K$151))</f>
        <v/>
      </c>
      <c r="H21" s="16">
        <f>IF(A21="","",SUMIF(Pasos!$A$2:$A$151,A21,Pasos!$J$2:$J$151))</f>
        <v/>
      </c>
      <c r="I21" s="10">
        <f>IF(A21="","",MAX(0,N(B21))*(D21+H21))</f>
        <v/>
      </c>
      <c r="J21" s="12">
        <f>IF(A21="","",MAX(0,N(B21))*(MAX(0,N(G21))/1000000)*MAX(0,N(E21)))</f>
        <v/>
      </c>
      <c r="K21" s="12">
        <f>IF(A21="","",MAX(0,N(B21))*(MAX(0,N(G21))/1000000)*MAX(0,N(RETENTION_DIAS))*24)</f>
        <v/>
      </c>
      <c r="L21" s="11">
        <f>IF(A21="","",I21/1000000*RATE_ACTIONS)</f>
        <v/>
      </c>
      <c r="M21" s="11">
        <f>IF(A21="","",J21*RATE_ACTIVE)</f>
        <v/>
      </c>
      <c r="N21" s="11">
        <f>IF(A21="","",K21*RATE_RETAINED)</f>
        <v/>
      </c>
      <c r="O21" s="11">
        <f>IF(A21="","",L21+M21+N21)</f>
        <v/>
      </c>
    </row>
  </sheetData>
  <autoFilter ref="A1:O21"/>
  <dataValidations count="1">
    <dataValidation sqref="C2:C21" showDropDown="0" showInputMessage="0" showErrorMessage="1" allowBlank="1" errorTitle="Origen" error="Elige Cliente, Signal-With-Start, Schedule o Ninguno" type="list">
      <formula1>=Listas!$A$2:$A$5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DB022"/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6" customWidth="1" min="3" max="3"/>
    <col width="22" customWidth="1" min="4" max="4"/>
    <col width="14" customWidth="1" min="5" max="5"/>
    <col width="24" customWidth="1" min="6" max="6"/>
    <col width="26" customWidth="1" min="7" max="7"/>
    <col width="22" customWidth="1" min="8" max="8"/>
    <col width="16" customWidth="1" min="9" max="9"/>
    <col width="18" customWidth="1" min="10" max="10"/>
    <col width="18" customWidth="1" min="11" max="11"/>
  </cols>
  <sheetData>
    <row r="1" ht="32" customHeight="1">
      <c r="A1" s="21" t="inlineStr">
        <is>
          <t>Workflow (type)</t>
        </is>
      </c>
      <c r="B1" s="21" t="inlineStr">
        <is>
          <t>Tipo de paso</t>
        </is>
      </c>
      <c r="C1" s="21" t="inlineStr">
        <is>
          <t>Nombre del paso</t>
        </is>
      </c>
      <c r="D1" s="21" t="inlineStr">
        <is>
          <t>Veces si el camino ocurre</t>
        </is>
      </c>
      <c r="E1" s="21" t="inlineStr">
        <is>
          <t>% del flujo</t>
        </is>
      </c>
      <c r="F1" s="21" t="inlineStr">
        <is>
          <t>Retries avg (solo Activity)</t>
        </is>
      </c>
      <c r="G1" s="21" t="inlineStr">
        <is>
          <t>Heartbeats avg (solo Activity)</t>
        </is>
      </c>
      <c r="H1" s="21" t="inlineStr">
        <is>
          <t>Payload del mensaje (KB)</t>
        </is>
      </c>
      <c r="I1" s="21" t="inlineStr">
        <is>
          <t>Unidad oficial</t>
        </is>
      </c>
      <c r="J1" s="21" t="inlineStr">
        <is>
          <t>Actions / ejecución</t>
        </is>
      </c>
      <c r="K1" s="21" t="inlineStr">
        <is>
          <t>Event History (KB)</t>
        </is>
      </c>
    </row>
    <row r="2" ht="18" customHeight="1">
      <c r="A2" s="22" t="inlineStr">
        <is>
          <t>Pago interbancario</t>
        </is>
      </c>
      <c r="B2" s="22" t="inlineStr">
        <is>
          <t>Activity</t>
        </is>
      </c>
      <c r="C2" s="22" t="inlineStr">
        <is>
          <t>Validar cuenta</t>
        </is>
      </c>
      <c r="D2" s="5" t="n">
        <v>1</v>
      </c>
      <c r="E2" s="24" t="n">
        <v>100</v>
      </c>
      <c r="F2" s="5" t="n">
        <v>0</v>
      </c>
      <c r="G2" s="5" t="n">
        <v>0</v>
      </c>
      <c r="H2" s="5" t="n">
        <v>4</v>
      </c>
      <c r="I2" s="8">
        <f>IF(B2="","",IFERROR(VLOOKUP(B2,Listas!$B$2:$C$13,2,0),1))</f>
        <v/>
      </c>
      <c r="J2" s="25">
        <f>IF(OR(A2="",B2=""),"",IF(B2="Activity",MAX(0,N(D2))*(MIN(100,MAX(0,N(E2)))/100)*(1+MAX(0,N(F2))+MAX(0,N(G2))),MAX(0,N(D2))*(MIN(100,MAX(0,N(E2)))/100)*I2))</f>
        <v/>
      </c>
      <c r="K2" s="25">
        <f>IF(OR(A2="",B2=""),"",MAX(0,N(D2))*(MIN(100,MAX(0,N(E2)))/100)*MAX(0,N(H2))*IFERROR(VLOOKUP(B2,Listas!$B$2:$D$13,3,0),0)*IF(B2="Activity",1+MAX(0,N(F2)),1))</f>
        <v/>
      </c>
    </row>
    <row r="3" ht="18" customHeight="1">
      <c r="A3" s="22" t="inlineStr">
        <is>
          <t>Pago interbancario</t>
        </is>
      </c>
      <c r="B3" s="22" t="inlineStr">
        <is>
          <t>Activity</t>
        </is>
      </c>
      <c r="C3" s="22" t="inlineStr">
        <is>
          <t>Débito core</t>
        </is>
      </c>
      <c r="D3" s="5" t="n">
        <v>1</v>
      </c>
      <c r="E3" s="24" t="n">
        <v>98</v>
      </c>
      <c r="F3" s="5" t="n">
        <v>0.3</v>
      </c>
      <c r="G3" s="5" t="n">
        <v>4</v>
      </c>
      <c r="H3" s="5" t="n">
        <v>8</v>
      </c>
      <c r="I3" s="8">
        <f>IF(B3="","",IFERROR(VLOOKUP(B3,Listas!$B$2:$C$13,2,0),1))</f>
        <v/>
      </c>
      <c r="J3" s="25">
        <f>IF(OR(A3="",B3=""),"",IF(B3="Activity",MAX(0,N(D3))*(MIN(100,MAX(0,N(E3)))/100)*(1+MAX(0,N(F3))+MAX(0,N(G3))),MAX(0,N(D3))*(MIN(100,MAX(0,N(E3)))/100)*I3))</f>
        <v/>
      </c>
      <c r="K3" s="25">
        <f>IF(OR(A3="",B3=""),"",MAX(0,N(D3))*(MIN(100,MAX(0,N(E3)))/100)*MAX(0,N(H3))*IFERROR(VLOOKUP(B3,Listas!$B$2:$D$13,3,0),0)*IF(B3="Activity",1+MAX(0,N(F3)),1))</f>
        <v/>
      </c>
    </row>
    <row r="4" ht="18" customHeight="1">
      <c r="A4" s="22" t="inlineStr">
        <is>
          <t>Pago interbancario</t>
        </is>
      </c>
      <c r="B4" s="22" t="inlineStr">
        <is>
          <t>Activity</t>
        </is>
      </c>
      <c r="C4" s="22" t="inlineStr">
        <is>
          <t>Crédito destino</t>
        </is>
      </c>
      <c r="D4" s="5" t="n">
        <v>1</v>
      </c>
      <c r="E4" s="24" t="n">
        <v>95</v>
      </c>
      <c r="F4" s="5" t="n">
        <v>0.4</v>
      </c>
      <c r="G4" s="5" t="n">
        <v>6</v>
      </c>
      <c r="H4" s="5" t="n">
        <v>8</v>
      </c>
      <c r="I4" s="8">
        <f>IF(B4="","",IFERROR(VLOOKUP(B4,Listas!$B$2:$C$13,2,0),1))</f>
        <v/>
      </c>
      <c r="J4" s="25">
        <f>IF(OR(A4="",B4=""),"",IF(B4="Activity",MAX(0,N(D4))*(MIN(100,MAX(0,N(E4)))/100)*(1+MAX(0,N(F4))+MAX(0,N(G4))),MAX(0,N(D4))*(MIN(100,MAX(0,N(E4)))/100)*I4))</f>
        <v/>
      </c>
      <c r="K4" s="25">
        <f>IF(OR(A4="",B4=""),"",MAX(0,N(D4))*(MIN(100,MAX(0,N(E4)))/100)*MAX(0,N(H4))*IFERROR(VLOOKUP(B4,Listas!$B$2:$D$13,3,0),0)*IF(B4="Activity",1+MAX(0,N(F4)),1))</f>
        <v/>
      </c>
    </row>
    <row r="5" ht="18" customHeight="1">
      <c r="A5" s="22" t="inlineStr">
        <is>
          <t>Pago interbancario</t>
        </is>
      </c>
      <c r="B5" s="22" t="inlineStr">
        <is>
          <t>Activity</t>
        </is>
      </c>
      <c r="C5" s="22" t="inlineStr">
        <is>
          <t>Notificar</t>
        </is>
      </c>
      <c r="D5" s="5" t="n">
        <v>1</v>
      </c>
      <c r="E5" s="24" t="n">
        <v>100</v>
      </c>
      <c r="F5" s="5" t="n">
        <v>0</v>
      </c>
      <c r="G5" s="5" t="n">
        <v>0</v>
      </c>
      <c r="H5" s="5" t="n">
        <v>2</v>
      </c>
      <c r="I5" s="8">
        <f>IF(B5="","",IFERROR(VLOOKUP(B5,Listas!$B$2:$C$13,2,0),1))</f>
        <v/>
      </c>
      <c r="J5" s="25">
        <f>IF(OR(A5="",B5=""),"",IF(B5="Activity",MAX(0,N(D5))*(MIN(100,MAX(0,N(E5)))/100)*(1+MAX(0,N(F5))+MAX(0,N(G5))),MAX(0,N(D5))*(MIN(100,MAX(0,N(E5)))/100)*I5))</f>
        <v/>
      </c>
      <c r="K5" s="25">
        <f>IF(OR(A5="",B5=""),"",MAX(0,N(D5))*(MIN(100,MAX(0,N(E5)))/100)*MAX(0,N(H5))*IFERROR(VLOOKUP(B5,Listas!$B$2:$D$13,3,0),0)*IF(B5="Activity",1+MAX(0,N(F5)),1))</f>
        <v/>
      </c>
    </row>
    <row r="6" ht="18" customHeight="1">
      <c r="A6" s="22" t="inlineStr">
        <is>
          <t>Pago interbancario</t>
        </is>
      </c>
      <c r="B6" s="22" t="inlineStr">
        <is>
          <t>Timer / timeout SDK</t>
        </is>
      </c>
      <c r="C6" s="22" t="inlineStr">
        <is>
          <t>Espera SLA / AwaitWithTimeout</t>
        </is>
      </c>
      <c r="D6" s="5" t="n">
        <v>1</v>
      </c>
      <c r="E6" s="24" t="n">
        <v>15</v>
      </c>
      <c r="F6" s="5" t="n">
        <v>0</v>
      </c>
      <c r="G6" s="5" t="n">
        <v>0</v>
      </c>
      <c r="H6" s="5" t="n">
        <v>0</v>
      </c>
      <c r="I6" s="8">
        <f>IF(B6="","",IFERROR(VLOOKUP(B6,Listas!$B$2:$C$13,2,0),1))</f>
        <v/>
      </c>
      <c r="J6" s="25">
        <f>IF(OR(A6="",B6=""),"",IF(B6="Activity",MAX(0,N(D6))*(MIN(100,MAX(0,N(E6)))/100)*(1+MAX(0,N(F6))+MAX(0,N(G6))),MAX(0,N(D6))*(MIN(100,MAX(0,N(E6)))/100)*I6))</f>
        <v/>
      </c>
      <c r="K6" s="25">
        <f>IF(OR(A6="",B6=""),"",MAX(0,N(D6))*(MIN(100,MAX(0,N(E6)))/100)*MAX(0,N(H6))*IFERROR(VLOOKUP(B6,Listas!$B$2:$D$13,3,0),0)*IF(B6="Activity",1+MAX(0,N(F6)),1))</f>
        <v/>
      </c>
    </row>
    <row r="7" ht="18" customHeight="1">
      <c r="A7" s="22" t="inlineStr">
        <is>
          <t>Pago interbancario</t>
        </is>
      </c>
      <c r="B7" s="22" t="inlineStr">
        <is>
          <t>Signal</t>
        </is>
      </c>
      <c r="C7" s="22" t="inlineStr">
        <is>
          <t>Confirmación manual</t>
        </is>
      </c>
      <c r="D7" s="5" t="n">
        <v>1</v>
      </c>
      <c r="E7" s="24" t="n">
        <v>8</v>
      </c>
      <c r="F7" s="5" t="n">
        <v>0</v>
      </c>
      <c r="G7" s="5" t="n">
        <v>0</v>
      </c>
      <c r="H7" s="5" t="n">
        <v>1</v>
      </c>
      <c r="I7" s="8">
        <f>IF(B7="","",IFERROR(VLOOKUP(B7,Listas!$B$2:$C$13,2,0),1))</f>
        <v/>
      </c>
      <c r="J7" s="25">
        <f>IF(OR(A7="",B7=""),"",IF(B7="Activity",MAX(0,N(D7))*(MIN(100,MAX(0,N(E7)))/100)*(1+MAX(0,N(F7))+MAX(0,N(G7))),MAX(0,N(D7))*(MIN(100,MAX(0,N(E7)))/100)*I7))</f>
        <v/>
      </c>
      <c r="K7" s="25">
        <f>IF(OR(A7="",B7=""),"",MAX(0,N(D7))*(MIN(100,MAX(0,N(E7)))/100)*MAX(0,N(H7))*IFERROR(VLOOKUP(B7,Listas!$B$2:$D$13,3,0),0)*IF(B7="Activity",1+MAX(0,N(F7)),1))</f>
        <v/>
      </c>
    </row>
    <row r="8" ht="18" customHeight="1">
      <c r="A8" s="22" t="inlineStr">
        <is>
          <t>Pago interbancario</t>
        </is>
      </c>
      <c r="B8" s="22" t="inlineStr">
        <is>
          <t>Query</t>
        </is>
      </c>
      <c r="C8" s="22" t="inlineStr">
        <is>
          <t>Consulta estado UI</t>
        </is>
      </c>
      <c r="D8" s="5" t="n">
        <v>2</v>
      </c>
      <c r="E8" s="24" t="n">
        <v>40</v>
      </c>
      <c r="F8" s="5" t="n">
        <v>0</v>
      </c>
      <c r="G8" s="5" t="n">
        <v>0</v>
      </c>
      <c r="H8" s="5" t="n">
        <v>2</v>
      </c>
      <c r="I8" s="8">
        <f>IF(B8="","",IFERROR(VLOOKUP(B8,Listas!$B$2:$C$13,2,0),1))</f>
        <v/>
      </c>
      <c r="J8" s="25">
        <f>IF(OR(A8="",B8=""),"",IF(B8="Activity",MAX(0,N(D8))*(MIN(100,MAX(0,N(E8)))/100)*(1+MAX(0,N(F8))+MAX(0,N(G8))),MAX(0,N(D8))*(MIN(100,MAX(0,N(E8)))/100)*I8))</f>
        <v/>
      </c>
      <c r="K8" s="25">
        <f>IF(OR(A8="",B8=""),"",MAX(0,N(D8))*(MIN(100,MAX(0,N(E8)))/100)*MAX(0,N(H8))*IFERROR(VLOOKUP(B8,Listas!$B$2:$D$13,3,0),0)*IF(B8="Activity",1+MAX(0,N(F8)),1))</f>
        <v/>
      </c>
    </row>
    <row r="9" ht="18" customHeight="1">
      <c r="A9" s="22" t="inlineStr">
        <is>
          <t>Alta de cliente</t>
        </is>
      </c>
      <c r="B9" s="22" t="inlineStr">
        <is>
          <t>Activity</t>
        </is>
      </c>
      <c r="C9" s="22" t="inlineStr">
        <is>
          <t>KYC</t>
        </is>
      </c>
      <c r="D9" s="5" t="n">
        <v>1</v>
      </c>
      <c r="E9" s="24" t="n">
        <v>100</v>
      </c>
      <c r="F9" s="5" t="n">
        <v>1</v>
      </c>
      <c r="G9" s="5" t="n">
        <v>12</v>
      </c>
      <c r="H9" s="5" t="n">
        <v>20</v>
      </c>
      <c r="I9" s="8">
        <f>IF(B9="","",IFERROR(VLOOKUP(B9,Listas!$B$2:$C$13,2,0),1))</f>
        <v/>
      </c>
      <c r="J9" s="25">
        <f>IF(OR(A9="",B9=""),"",IF(B9="Activity",MAX(0,N(D9))*(MIN(100,MAX(0,N(E9)))/100)*(1+MAX(0,N(F9))+MAX(0,N(G9))),MAX(0,N(D9))*(MIN(100,MAX(0,N(E9)))/100)*I9))</f>
        <v/>
      </c>
      <c r="K9" s="25">
        <f>IF(OR(A9="",B9=""),"",MAX(0,N(D9))*(MIN(100,MAX(0,N(E9)))/100)*MAX(0,N(H9))*IFERROR(VLOOKUP(B9,Listas!$B$2:$D$13,3,0),0)*IF(B9="Activity",1+MAX(0,N(F9)),1))</f>
        <v/>
      </c>
    </row>
    <row r="10" ht="18" customHeight="1">
      <c r="A10" s="22" t="inlineStr">
        <is>
          <t>Alta de cliente</t>
        </is>
      </c>
      <c r="B10" s="22" t="inlineStr">
        <is>
          <t>Activity</t>
        </is>
      </c>
      <c r="C10" s="22" t="inlineStr">
        <is>
          <t>Crear producto</t>
        </is>
      </c>
      <c r="D10" s="5" t="n">
        <v>1</v>
      </c>
      <c r="E10" s="24" t="n">
        <v>85</v>
      </c>
      <c r="F10" s="5" t="n">
        <v>0.2</v>
      </c>
      <c r="G10" s="5" t="n">
        <v>2</v>
      </c>
      <c r="H10" s="5" t="n">
        <v>8</v>
      </c>
      <c r="I10" s="8">
        <f>IF(B10="","",IFERROR(VLOOKUP(B10,Listas!$B$2:$C$13,2,0),1))</f>
        <v/>
      </c>
      <c r="J10" s="25">
        <f>IF(OR(A10="",B10=""),"",IF(B10="Activity",MAX(0,N(D10))*(MIN(100,MAX(0,N(E10)))/100)*(1+MAX(0,N(F10))+MAX(0,N(G10))),MAX(0,N(D10))*(MIN(100,MAX(0,N(E10)))/100)*I10))</f>
        <v/>
      </c>
      <c r="K10" s="25">
        <f>IF(OR(A10="",B10=""),"",MAX(0,N(D10))*(MIN(100,MAX(0,N(E10)))/100)*MAX(0,N(H10))*IFERROR(VLOOKUP(B10,Listas!$B$2:$D$13,3,0),0)*IF(B10="Activity",1+MAX(0,N(F10)),1))</f>
        <v/>
      </c>
    </row>
    <row r="11" ht="18" customHeight="1">
      <c r="A11" s="22" t="inlineStr">
        <is>
          <t>Alta de cliente</t>
        </is>
      </c>
      <c r="B11" s="22" t="inlineStr">
        <is>
          <t>Timer / timeout SDK</t>
        </is>
      </c>
      <c r="C11" s="22" t="inlineStr">
        <is>
          <t>Espera documentos</t>
        </is>
      </c>
      <c r="D11" s="5" t="n">
        <v>1</v>
      </c>
      <c r="E11" s="24" t="n">
        <v>30</v>
      </c>
      <c r="F11" s="5" t="n">
        <v>0</v>
      </c>
      <c r="G11" s="5" t="n">
        <v>0</v>
      </c>
      <c r="H11" s="5" t="n">
        <v>0</v>
      </c>
      <c r="I11" s="8">
        <f>IF(B11="","",IFERROR(VLOOKUP(B11,Listas!$B$2:$C$13,2,0),1))</f>
        <v/>
      </c>
      <c r="J11" s="25">
        <f>IF(OR(A11="",B11=""),"",IF(B11="Activity",MAX(0,N(D11))*(MIN(100,MAX(0,N(E11)))/100)*(1+MAX(0,N(F11))+MAX(0,N(G11))),MAX(0,N(D11))*(MIN(100,MAX(0,N(E11)))/100)*I11))</f>
        <v/>
      </c>
      <c r="K11" s="25">
        <f>IF(OR(A11="",B11=""),"",MAX(0,N(D11))*(MIN(100,MAX(0,N(E11)))/100)*MAX(0,N(H11))*IFERROR(VLOOKUP(B11,Listas!$B$2:$D$13,3,0),0)*IF(B11="Activity",1+MAX(0,N(F11)),1))</f>
        <v/>
      </c>
    </row>
    <row r="12" ht="18" customHeight="1">
      <c r="A12" s="22" t="inlineStr">
        <is>
          <t>Alta de cliente</t>
        </is>
      </c>
      <c r="B12" s="22" t="inlineStr">
        <is>
          <t>Signal</t>
        </is>
      </c>
      <c r="C12" s="22" t="inlineStr">
        <is>
          <t>Documentos listos</t>
        </is>
      </c>
      <c r="D12" s="5" t="n">
        <v>1</v>
      </c>
      <c r="E12" s="24" t="n">
        <v>30</v>
      </c>
      <c r="F12" s="5" t="n">
        <v>0</v>
      </c>
      <c r="G12" s="5" t="n">
        <v>0</v>
      </c>
      <c r="H12" s="5" t="n">
        <v>10</v>
      </c>
      <c r="I12" s="8">
        <f>IF(B12="","",IFERROR(VLOOKUP(B12,Listas!$B$2:$C$13,2,0),1))</f>
        <v/>
      </c>
      <c r="J12" s="25">
        <f>IF(OR(A12="",B12=""),"",IF(B12="Activity",MAX(0,N(D12))*(MIN(100,MAX(0,N(E12)))/100)*(1+MAX(0,N(F12))+MAX(0,N(G12))),MAX(0,N(D12))*(MIN(100,MAX(0,N(E12)))/100)*I12))</f>
        <v/>
      </c>
      <c r="K12" s="25">
        <f>IF(OR(A12="",B12=""),"",MAX(0,N(D12))*(MIN(100,MAX(0,N(E12)))/100)*MAX(0,N(H12))*IFERROR(VLOOKUP(B12,Listas!$B$2:$D$13,3,0),0)*IF(B12="Activity",1+MAX(0,N(F12)),1))</f>
        <v/>
      </c>
    </row>
    <row r="13" ht="18" customHeight="1">
      <c r="A13" s="22" t="inlineStr">
        <is>
          <t>Alta de cliente</t>
        </is>
      </c>
      <c r="B13" s="22" t="inlineStr">
        <is>
          <t>Child (hijo NO listado)</t>
        </is>
      </c>
      <c r="C13" s="22" t="inlineStr">
        <is>
          <t>Onboarding cards (no listado)</t>
        </is>
      </c>
      <c r="D13" s="5" t="n">
        <v>1</v>
      </c>
      <c r="E13" s="24" t="n">
        <v>60</v>
      </c>
      <c r="F13" s="5" t="n">
        <v>0</v>
      </c>
      <c r="G13" s="5" t="n">
        <v>0</v>
      </c>
      <c r="H13" s="5" t="n">
        <v>12</v>
      </c>
      <c r="I13" s="8">
        <f>IF(B13="","",IFERROR(VLOOKUP(B13,Listas!$B$2:$C$13,2,0),1))</f>
        <v/>
      </c>
      <c r="J13" s="25">
        <f>IF(OR(A13="",B13=""),"",IF(B13="Activity",MAX(0,N(D13))*(MIN(100,MAX(0,N(E13)))/100)*(1+MAX(0,N(F13))+MAX(0,N(G13))),MAX(0,N(D13))*(MIN(100,MAX(0,N(E13)))/100)*I13))</f>
        <v/>
      </c>
      <c r="K13" s="25">
        <f>IF(OR(A13="",B13=""),"",MAX(0,N(D13))*(MIN(100,MAX(0,N(E13)))/100)*MAX(0,N(H13))*IFERROR(VLOOKUP(B13,Listas!$B$2:$D$13,3,0),0)*IF(B13="Activity",1+MAX(0,N(F13)),1))</f>
        <v/>
      </c>
    </row>
    <row r="14" ht="18" customHeight="1">
      <c r="A14" s="22" t="n"/>
      <c r="B14" s="22" t="n"/>
      <c r="C14" s="22" t="n"/>
      <c r="D14" s="5" t="n"/>
      <c r="E14" s="24" t="n"/>
      <c r="F14" s="5" t="n"/>
      <c r="G14" s="5" t="n"/>
      <c r="H14" s="5" t="n"/>
      <c r="I14" s="8">
        <f>IF(B14="","",IFERROR(VLOOKUP(B14,Listas!$B$2:$C$13,2,0),1))</f>
        <v/>
      </c>
      <c r="J14" s="25">
        <f>IF(OR(A14="",B14=""),"",IF(B14="Activity",MAX(0,N(D14))*(MIN(100,MAX(0,N(E14)))/100)*(1+MAX(0,N(F14))+MAX(0,N(G14))),MAX(0,N(D14))*(MIN(100,MAX(0,N(E14)))/100)*I14))</f>
        <v/>
      </c>
      <c r="K14" s="25">
        <f>IF(OR(A14="",B14=""),"",MAX(0,N(D14))*(MIN(100,MAX(0,N(E14)))/100)*MAX(0,N(H14))*IFERROR(VLOOKUP(B14,Listas!$B$2:$D$13,3,0),0)*IF(B14="Activity",1+MAX(0,N(F14)),1))</f>
        <v/>
      </c>
    </row>
    <row r="15" ht="18" customHeight="1">
      <c r="A15" s="22" t="n"/>
      <c r="B15" s="22" t="n"/>
      <c r="C15" s="22" t="n"/>
      <c r="D15" s="5" t="n"/>
      <c r="E15" s="24" t="n"/>
      <c r="F15" s="5" t="n"/>
      <c r="G15" s="5" t="n"/>
      <c r="H15" s="5" t="n"/>
      <c r="I15" s="8">
        <f>IF(B15="","",IFERROR(VLOOKUP(B15,Listas!$B$2:$C$13,2,0),1))</f>
        <v/>
      </c>
      <c r="J15" s="25">
        <f>IF(OR(A15="",B15=""),"",IF(B15="Activity",MAX(0,N(D15))*(MIN(100,MAX(0,N(E15)))/100)*(1+MAX(0,N(F15))+MAX(0,N(G15))),MAX(0,N(D15))*(MIN(100,MAX(0,N(E15)))/100)*I15))</f>
        <v/>
      </c>
      <c r="K15" s="25">
        <f>IF(OR(A15="",B15=""),"",MAX(0,N(D15))*(MIN(100,MAX(0,N(E15)))/100)*MAX(0,N(H15))*IFERROR(VLOOKUP(B15,Listas!$B$2:$D$13,3,0),0)*IF(B15="Activity",1+MAX(0,N(F15)),1))</f>
        <v/>
      </c>
    </row>
    <row r="16" ht="18" customHeight="1">
      <c r="A16" s="22" t="n"/>
      <c r="B16" s="22" t="n"/>
      <c r="C16" s="22" t="n"/>
      <c r="D16" s="5" t="n"/>
      <c r="E16" s="24" t="n"/>
      <c r="F16" s="5" t="n"/>
      <c r="G16" s="5" t="n"/>
      <c r="H16" s="5" t="n"/>
      <c r="I16" s="8">
        <f>IF(B16="","",IFERROR(VLOOKUP(B16,Listas!$B$2:$C$13,2,0),1))</f>
        <v/>
      </c>
      <c r="J16" s="25">
        <f>IF(OR(A16="",B16=""),"",IF(B16="Activity",MAX(0,N(D16))*(MIN(100,MAX(0,N(E16)))/100)*(1+MAX(0,N(F16))+MAX(0,N(G16))),MAX(0,N(D16))*(MIN(100,MAX(0,N(E16)))/100)*I16))</f>
        <v/>
      </c>
      <c r="K16" s="25">
        <f>IF(OR(A16="",B16=""),"",MAX(0,N(D16))*(MIN(100,MAX(0,N(E16)))/100)*MAX(0,N(H16))*IFERROR(VLOOKUP(B16,Listas!$B$2:$D$13,3,0),0)*IF(B16="Activity",1+MAX(0,N(F16)),1))</f>
        <v/>
      </c>
    </row>
    <row r="17" ht="18" customHeight="1">
      <c r="A17" s="22" t="n"/>
      <c r="B17" s="22" t="n"/>
      <c r="C17" s="22" t="n"/>
      <c r="D17" s="5" t="n"/>
      <c r="E17" s="24" t="n"/>
      <c r="F17" s="5" t="n"/>
      <c r="G17" s="5" t="n"/>
      <c r="H17" s="5" t="n"/>
      <c r="I17" s="8">
        <f>IF(B17="","",IFERROR(VLOOKUP(B17,Listas!$B$2:$C$13,2,0),1))</f>
        <v/>
      </c>
      <c r="J17" s="25">
        <f>IF(OR(A17="",B17=""),"",IF(B17="Activity",MAX(0,N(D17))*(MIN(100,MAX(0,N(E17)))/100)*(1+MAX(0,N(F17))+MAX(0,N(G17))),MAX(0,N(D17))*(MIN(100,MAX(0,N(E17)))/100)*I17))</f>
        <v/>
      </c>
      <c r="K17" s="25">
        <f>IF(OR(A17="",B17=""),"",MAX(0,N(D17))*(MIN(100,MAX(0,N(E17)))/100)*MAX(0,N(H17))*IFERROR(VLOOKUP(B17,Listas!$B$2:$D$13,3,0),0)*IF(B17="Activity",1+MAX(0,N(F17)),1))</f>
        <v/>
      </c>
    </row>
    <row r="18" ht="18" customHeight="1">
      <c r="A18" s="22" t="n"/>
      <c r="B18" s="22" t="n"/>
      <c r="C18" s="22" t="n"/>
      <c r="D18" s="5" t="n"/>
      <c r="E18" s="24" t="n"/>
      <c r="F18" s="5" t="n"/>
      <c r="G18" s="5" t="n"/>
      <c r="H18" s="5" t="n"/>
      <c r="I18" s="8">
        <f>IF(B18="","",IFERROR(VLOOKUP(B18,Listas!$B$2:$C$13,2,0),1))</f>
        <v/>
      </c>
      <c r="J18" s="25">
        <f>IF(OR(A18="",B18=""),"",IF(B18="Activity",MAX(0,N(D18))*(MIN(100,MAX(0,N(E18)))/100)*(1+MAX(0,N(F18))+MAX(0,N(G18))),MAX(0,N(D18))*(MIN(100,MAX(0,N(E18)))/100)*I18))</f>
        <v/>
      </c>
      <c r="K18" s="25">
        <f>IF(OR(A18="",B18=""),"",MAX(0,N(D18))*(MIN(100,MAX(0,N(E18)))/100)*MAX(0,N(H18))*IFERROR(VLOOKUP(B18,Listas!$B$2:$D$13,3,0),0)*IF(B18="Activity",1+MAX(0,N(F18)),1))</f>
        <v/>
      </c>
    </row>
    <row r="19" ht="18" customHeight="1">
      <c r="A19" s="22" t="n"/>
      <c r="B19" s="22" t="n"/>
      <c r="C19" s="22" t="n"/>
      <c r="D19" s="5" t="n"/>
      <c r="E19" s="24" t="n"/>
      <c r="F19" s="5" t="n"/>
      <c r="G19" s="5" t="n"/>
      <c r="H19" s="5" t="n"/>
      <c r="I19" s="8">
        <f>IF(B19="","",IFERROR(VLOOKUP(B19,Listas!$B$2:$C$13,2,0),1))</f>
        <v/>
      </c>
      <c r="J19" s="25">
        <f>IF(OR(A19="",B19=""),"",IF(B19="Activity",MAX(0,N(D19))*(MIN(100,MAX(0,N(E19)))/100)*(1+MAX(0,N(F19))+MAX(0,N(G19))),MAX(0,N(D19))*(MIN(100,MAX(0,N(E19)))/100)*I19))</f>
        <v/>
      </c>
      <c r="K19" s="25">
        <f>IF(OR(A19="",B19=""),"",MAX(0,N(D19))*(MIN(100,MAX(0,N(E19)))/100)*MAX(0,N(H19))*IFERROR(VLOOKUP(B19,Listas!$B$2:$D$13,3,0),0)*IF(B19="Activity",1+MAX(0,N(F19)),1))</f>
        <v/>
      </c>
    </row>
    <row r="20" ht="18" customHeight="1">
      <c r="A20" s="22" t="n"/>
      <c r="B20" s="22" t="n"/>
      <c r="C20" s="22" t="n"/>
      <c r="D20" s="5" t="n"/>
      <c r="E20" s="24" t="n"/>
      <c r="F20" s="5" t="n"/>
      <c r="G20" s="5" t="n"/>
      <c r="H20" s="5" t="n"/>
      <c r="I20" s="8">
        <f>IF(B20="","",IFERROR(VLOOKUP(B20,Listas!$B$2:$C$13,2,0),1))</f>
        <v/>
      </c>
      <c r="J20" s="25">
        <f>IF(OR(A20="",B20=""),"",IF(B20="Activity",MAX(0,N(D20))*(MIN(100,MAX(0,N(E20)))/100)*(1+MAX(0,N(F20))+MAX(0,N(G20))),MAX(0,N(D20))*(MIN(100,MAX(0,N(E20)))/100)*I20))</f>
        <v/>
      </c>
      <c r="K20" s="25">
        <f>IF(OR(A20="",B20=""),"",MAX(0,N(D20))*(MIN(100,MAX(0,N(E20)))/100)*MAX(0,N(H20))*IFERROR(VLOOKUP(B20,Listas!$B$2:$D$13,3,0),0)*IF(B20="Activity",1+MAX(0,N(F20)),1))</f>
        <v/>
      </c>
    </row>
    <row r="21" ht="18" customHeight="1">
      <c r="A21" s="22" t="n"/>
      <c r="B21" s="22" t="n"/>
      <c r="C21" s="22" t="n"/>
      <c r="D21" s="5" t="n"/>
      <c r="E21" s="24" t="n"/>
      <c r="F21" s="5" t="n"/>
      <c r="G21" s="5" t="n"/>
      <c r="H21" s="5" t="n"/>
      <c r="I21" s="8">
        <f>IF(B21="","",IFERROR(VLOOKUP(B21,Listas!$B$2:$C$13,2,0),1))</f>
        <v/>
      </c>
      <c r="J21" s="25">
        <f>IF(OR(A21="",B21=""),"",IF(B21="Activity",MAX(0,N(D21))*(MIN(100,MAX(0,N(E21)))/100)*(1+MAX(0,N(F21))+MAX(0,N(G21))),MAX(0,N(D21))*(MIN(100,MAX(0,N(E21)))/100)*I21))</f>
        <v/>
      </c>
      <c r="K21" s="25">
        <f>IF(OR(A21="",B21=""),"",MAX(0,N(D21))*(MIN(100,MAX(0,N(E21)))/100)*MAX(0,N(H21))*IFERROR(VLOOKUP(B21,Listas!$B$2:$D$13,3,0),0)*IF(B21="Activity",1+MAX(0,N(F21)),1))</f>
        <v/>
      </c>
    </row>
    <row r="22" ht="18" customHeight="1">
      <c r="A22" s="22" t="n"/>
      <c r="B22" s="22" t="n"/>
      <c r="C22" s="22" t="n"/>
      <c r="D22" s="5" t="n"/>
      <c r="E22" s="24" t="n"/>
      <c r="F22" s="5" t="n"/>
      <c r="G22" s="5" t="n"/>
      <c r="H22" s="5" t="n"/>
      <c r="I22" s="8">
        <f>IF(B22="","",IFERROR(VLOOKUP(B22,Listas!$B$2:$C$13,2,0),1))</f>
        <v/>
      </c>
      <c r="J22" s="25">
        <f>IF(OR(A22="",B22=""),"",IF(B22="Activity",MAX(0,N(D22))*(MIN(100,MAX(0,N(E22)))/100)*(1+MAX(0,N(F22))+MAX(0,N(G22))),MAX(0,N(D22))*(MIN(100,MAX(0,N(E22)))/100)*I22))</f>
        <v/>
      </c>
      <c r="K22" s="25">
        <f>IF(OR(A22="",B22=""),"",MAX(0,N(D22))*(MIN(100,MAX(0,N(E22)))/100)*MAX(0,N(H22))*IFERROR(VLOOKUP(B22,Listas!$B$2:$D$13,3,0),0)*IF(B22="Activity",1+MAX(0,N(F22)),1))</f>
        <v/>
      </c>
    </row>
    <row r="23" ht="18" customHeight="1">
      <c r="A23" s="22" t="n"/>
      <c r="B23" s="22" t="n"/>
      <c r="C23" s="22" t="n"/>
      <c r="D23" s="5" t="n"/>
      <c r="E23" s="24" t="n"/>
      <c r="F23" s="5" t="n"/>
      <c r="G23" s="5" t="n"/>
      <c r="H23" s="5" t="n"/>
      <c r="I23" s="8">
        <f>IF(B23="","",IFERROR(VLOOKUP(B23,Listas!$B$2:$C$13,2,0),1))</f>
        <v/>
      </c>
      <c r="J23" s="25">
        <f>IF(OR(A23="",B23=""),"",IF(B23="Activity",MAX(0,N(D23))*(MIN(100,MAX(0,N(E23)))/100)*(1+MAX(0,N(F23))+MAX(0,N(G23))),MAX(0,N(D23))*(MIN(100,MAX(0,N(E23)))/100)*I23))</f>
        <v/>
      </c>
      <c r="K23" s="25">
        <f>IF(OR(A23="",B23=""),"",MAX(0,N(D23))*(MIN(100,MAX(0,N(E23)))/100)*MAX(0,N(H23))*IFERROR(VLOOKUP(B23,Listas!$B$2:$D$13,3,0),0)*IF(B23="Activity",1+MAX(0,N(F23)),1))</f>
        <v/>
      </c>
    </row>
    <row r="24" ht="18" customHeight="1">
      <c r="A24" s="22" t="n"/>
      <c r="B24" s="22" t="n"/>
      <c r="C24" s="22" t="n"/>
      <c r="D24" s="5" t="n"/>
      <c r="E24" s="24" t="n"/>
      <c r="F24" s="5" t="n"/>
      <c r="G24" s="5" t="n"/>
      <c r="H24" s="5" t="n"/>
      <c r="I24" s="8">
        <f>IF(B24="","",IFERROR(VLOOKUP(B24,Listas!$B$2:$C$13,2,0),1))</f>
        <v/>
      </c>
      <c r="J24" s="25">
        <f>IF(OR(A24="",B24=""),"",IF(B24="Activity",MAX(0,N(D24))*(MIN(100,MAX(0,N(E24)))/100)*(1+MAX(0,N(F24))+MAX(0,N(G24))),MAX(0,N(D24))*(MIN(100,MAX(0,N(E24)))/100)*I24))</f>
        <v/>
      </c>
      <c r="K24" s="25">
        <f>IF(OR(A24="",B24=""),"",MAX(0,N(D24))*(MIN(100,MAX(0,N(E24)))/100)*MAX(0,N(H24))*IFERROR(VLOOKUP(B24,Listas!$B$2:$D$13,3,0),0)*IF(B24="Activity",1+MAX(0,N(F24)),1))</f>
        <v/>
      </c>
    </row>
    <row r="25" ht="18" customHeight="1">
      <c r="A25" s="22" t="n"/>
      <c r="B25" s="22" t="n"/>
      <c r="C25" s="22" t="n"/>
      <c r="D25" s="5" t="n"/>
      <c r="E25" s="24" t="n"/>
      <c r="F25" s="5" t="n"/>
      <c r="G25" s="5" t="n"/>
      <c r="H25" s="5" t="n"/>
      <c r="I25" s="8">
        <f>IF(B25="","",IFERROR(VLOOKUP(B25,Listas!$B$2:$C$13,2,0),1))</f>
        <v/>
      </c>
      <c r="J25" s="25">
        <f>IF(OR(A25="",B25=""),"",IF(B25="Activity",MAX(0,N(D25))*(MIN(100,MAX(0,N(E25)))/100)*(1+MAX(0,N(F25))+MAX(0,N(G25))),MAX(0,N(D25))*(MIN(100,MAX(0,N(E25)))/100)*I25))</f>
        <v/>
      </c>
      <c r="K25" s="25">
        <f>IF(OR(A25="",B25=""),"",MAX(0,N(D25))*(MIN(100,MAX(0,N(E25)))/100)*MAX(0,N(H25))*IFERROR(VLOOKUP(B25,Listas!$B$2:$D$13,3,0),0)*IF(B25="Activity",1+MAX(0,N(F25)),1))</f>
        <v/>
      </c>
    </row>
    <row r="26" ht="18" customHeight="1">
      <c r="A26" s="22" t="n"/>
      <c r="B26" s="22" t="n"/>
      <c r="C26" s="22" t="n"/>
      <c r="D26" s="5" t="n"/>
      <c r="E26" s="24" t="n"/>
      <c r="F26" s="5" t="n"/>
      <c r="G26" s="5" t="n"/>
      <c r="H26" s="5" t="n"/>
      <c r="I26" s="8">
        <f>IF(B26="","",IFERROR(VLOOKUP(B26,Listas!$B$2:$C$13,2,0),1))</f>
        <v/>
      </c>
      <c r="J26" s="25">
        <f>IF(OR(A26="",B26=""),"",IF(B26="Activity",MAX(0,N(D26))*(MIN(100,MAX(0,N(E26)))/100)*(1+MAX(0,N(F26))+MAX(0,N(G26))),MAX(0,N(D26))*(MIN(100,MAX(0,N(E26)))/100)*I26))</f>
        <v/>
      </c>
      <c r="K26" s="25">
        <f>IF(OR(A26="",B26=""),"",MAX(0,N(D26))*(MIN(100,MAX(0,N(E26)))/100)*MAX(0,N(H26))*IFERROR(VLOOKUP(B26,Listas!$B$2:$D$13,3,0),0)*IF(B26="Activity",1+MAX(0,N(F26)),1))</f>
        <v/>
      </c>
    </row>
    <row r="27" ht="18" customHeight="1">
      <c r="A27" s="22" t="n"/>
      <c r="B27" s="22" t="n"/>
      <c r="C27" s="22" t="n"/>
      <c r="D27" s="5" t="n"/>
      <c r="E27" s="24" t="n"/>
      <c r="F27" s="5" t="n"/>
      <c r="G27" s="5" t="n"/>
      <c r="H27" s="5" t="n"/>
      <c r="I27" s="8">
        <f>IF(B27="","",IFERROR(VLOOKUP(B27,Listas!$B$2:$C$13,2,0),1))</f>
        <v/>
      </c>
      <c r="J27" s="25">
        <f>IF(OR(A27="",B27=""),"",IF(B27="Activity",MAX(0,N(D27))*(MIN(100,MAX(0,N(E27)))/100)*(1+MAX(0,N(F27))+MAX(0,N(G27))),MAX(0,N(D27))*(MIN(100,MAX(0,N(E27)))/100)*I27))</f>
        <v/>
      </c>
      <c r="K27" s="25">
        <f>IF(OR(A27="",B27=""),"",MAX(0,N(D27))*(MIN(100,MAX(0,N(E27)))/100)*MAX(0,N(H27))*IFERROR(VLOOKUP(B27,Listas!$B$2:$D$13,3,0),0)*IF(B27="Activity",1+MAX(0,N(F27)),1))</f>
        <v/>
      </c>
    </row>
    <row r="28" ht="18" customHeight="1">
      <c r="A28" s="22" t="n"/>
      <c r="B28" s="22" t="n"/>
      <c r="C28" s="22" t="n"/>
      <c r="D28" s="5" t="n"/>
      <c r="E28" s="24" t="n"/>
      <c r="F28" s="5" t="n"/>
      <c r="G28" s="5" t="n"/>
      <c r="H28" s="5" t="n"/>
      <c r="I28" s="8">
        <f>IF(B28="","",IFERROR(VLOOKUP(B28,Listas!$B$2:$C$13,2,0),1))</f>
        <v/>
      </c>
      <c r="J28" s="25">
        <f>IF(OR(A28="",B28=""),"",IF(B28="Activity",MAX(0,N(D28))*(MIN(100,MAX(0,N(E28)))/100)*(1+MAX(0,N(F28))+MAX(0,N(G28))),MAX(0,N(D28))*(MIN(100,MAX(0,N(E28)))/100)*I28))</f>
        <v/>
      </c>
      <c r="K28" s="25">
        <f>IF(OR(A28="",B28=""),"",MAX(0,N(D28))*(MIN(100,MAX(0,N(E28)))/100)*MAX(0,N(H28))*IFERROR(VLOOKUP(B28,Listas!$B$2:$D$13,3,0),0)*IF(B28="Activity",1+MAX(0,N(F28)),1))</f>
        <v/>
      </c>
    </row>
    <row r="29" ht="18" customHeight="1">
      <c r="A29" s="22" t="n"/>
      <c r="B29" s="22" t="n"/>
      <c r="C29" s="22" t="n"/>
      <c r="D29" s="5" t="n"/>
      <c r="E29" s="24" t="n"/>
      <c r="F29" s="5" t="n"/>
      <c r="G29" s="5" t="n"/>
      <c r="H29" s="5" t="n"/>
      <c r="I29" s="8">
        <f>IF(B29="","",IFERROR(VLOOKUP(B29,Listas!$B$2:$C$13,2,0),1))</f>
        <v/>
      </c>
      <c r="J29" s="25">
        <f>IF(OR(A29="",B29=""),"",IF(B29="Activity",MAX(0,N(D29))*(MIN(100,MAX(0,N(E29)))/100)*(1+MAX(0,N(F29))+MAX(0,N(G29))),MAX(0,N(D29))*(MIN(100,MAX(0,N(E29)))/100)*I29))</f>
        <v/>
      </c>
      <c r="K29" s="25">
        <f>IF(OR(A29="",B29=""),"",MAX(0,N(D29))*(MIN(100,MAX(0,N(E29)))/100)*MAX(0,N(H29))*IFERROR(VLOOKUP(B29,Listas!$B$2:$D$13,3,0),0)*IF(B29="Activity",1+MAX(0,N(F29)),1))</f>
        <v/>
      </c>
    </row>
    <row r="30" ht="18" customHeight="1">
      <c r="A30" s="22" t="n"/>
      <c r="B30" s="22" t="n"/>
      <c r="C30" s="22" t="n"/>
      <c r="D30" s="5" t="n"/>
      <c r="E30" s="24" t="n"/>
      <c r="F30" s="5" t="n"/>
      <c r="G30" s="5" t="n"/>
      <c r="H30" s="5" t="n"/>
      <c r="I30" s="8">
        <f>IF(B30="","",IFERROR(VLOOKUP(B30,Listas!$B$2:$C$13,2,0),1))</f>
        <v/>
      </c>
      <c r="J30" s="25">
        <f>IF(OR(A30="",B30=""),"",IF(B30="Activity",MAX(0,N(D30))*(MIN(100,MAX(0,N(E30)))/100)*(1+MAX(0,N(F30))+MAX(0,N(G30))),MAX(0,N(D30))*(MIN(100,MAX(0,N(E30)))/100)*I30))</f>
        <v/>
      </c>
      <c r="K30" s="25">
        <f>IF(OR(A30="",B30=""),"",MAX(0,N(D30))*(MIN(100,MAX(0,N(E30)))/100)*MAX(0,N(H30))*IFERROR(VLOOKUP(B30,Listas!$B$2:$D$13,3,0),0)*IF(B30="Activity",1+MAX(0,N(F30)),1))</f>
        <v/>
      </c>
    </row>
    <row r="31" ht="18" customHeight="1">
      <c r="A31" s="22" t="n"/>
      <c r="B31" s="22" t="n"/>
      <c r="C31" s="22" t="n"/>
      <c r="D31" s="5" t="n"/>
      <c r="E31" s="24" t="n"/>
      <c r="F31" s="5" t="n"/>
      <c r="G31" s="5" t="n"/>
      <c r="H31" s="5" t="n"/>
      <c r="I31" s="8">
        <f>IF(B31="","",IFERROR(VLOOKUP(B31,Listas!$B$2:$C$13,2,0),1))</f>
        <v/>
      </c>
      <c r="J31" s="25">
        <f>IF(OR(A31="",B31=""),"",IF(B31="Activity",MAX(0,N(D31))*(MIN(100,MAX(0,N(E31)))/100)*(1+MAX(0,N(F31))+MAX(0,N(G31))),MAX(0,N(D31))*(MIN(100,MAX(0,N(E31)))/100)*I31))</f>
        <v/>
      </c>
      <c r="K31" s="25">
        <f>IF(OR(A31="",B31=""),"",MAX(0,N(D31))*(MIN(100,MAX(0,N(E31)))/100)*MAX(0,N(H31))*IFERROR(VLOOKUP(B31,Listas!$B$2:$D$13,3,0),0)*IF(B31="Activity",1+MAX(0,N(F31)),1))</f>
        <v/>
      </c>
    </row>
    <row r="32" ht="18" customHeight="1">
      <c r="A32" s="22" t="n"/>
      <c r="B32" s="22" t="n"/>
      <c r="C32" s="22" t="n"/>
      <c r="D32" s="5" t="n"/>
      <c r="E32" s="24" t="n"/>
      <c r="F32" s="5" t="n"/>
      <c r="G32" s="5" t="n"/>
      <c r="H32" s="5" t="n"/>
      <c r="I32" s="8">
        <f>IF(B32="","",IFERROR(VLOOKUP(B32,Listas!$B$2:$C$13,2,0),1))</f>
        <v/>
      </c>
      <c r="J32" s="25">
        <f>IF(OR(A32="",B32=""),"",IF(B32="Activity",MAX(0,N(D32))*(MIN(100,MAX(0,N(E32)))/100)*(1+MAX(0,N(F32))+MAX(0,N(G32))),MAX(0,N(D32))*(MIN(100,MAX(0,N(E32)))/100)*I32))</f>
        <v/>
      </c>
      <c r="K32" s="25">
        <f>IF(OR(A32="",B32=""),"",MAX(0,N(D32))*(MIN(100,MAX(0,N(E32)))/100)*MAX(0,N(H32))*IFERROR(VLOOKUP(B32,Listas!$B$2:$D$13,3,0),0)*IF(B32="Activity",1+MAX(0,N(F32)),1))</f>
        <v/>
      </c>
    </row>
    <row r="33" ht="18" customHeight="1">
      <c r="A33" s="22" t="n"/>
      <c r="B33" s="22" t="n"/>
      <c r="C33" s="22" t="n"/>
      <c r="D33" s="5" t="n"/>
      <c r="E33" s="24" t="n"/>
      <c r="F33" s="5" t="n"/>
      <c r="G33" s="5" t="n"/>
      <c r="H33" s="5" t="n"/>
      <c r="I33" s="8">
        <f>IF(B33="","",IFERROR(VLOOKUP(B33,Listas!$B$2:$C$13,2,0),1))</f>
        <v/>
      </c>
      <c r="J33" s="25">
        <f>IF(OR(A33="",B33=""),"",IF(B33="Activity",MAX(0,N(D33))*(MIN(100,MAX(0,N(E33)))/100)*(1+MAX(0,N(F33))+MAX(0,N(G33))),MAX(0,N(D33))*(MIN(100,MAX(0,N(E33)))/100)*I33))</f>
        <v/>
      </c>
      <c r="K33" s="25">
        <f>IF(OR(A33="",B33=""),"",MAX(0,N(D33))*(MIN(100,MAX(0,N(E33)))/100)*MAX(0,N(H33))*IFERROR(VLOOKUP(B33,Listas!$B$2:$D$13,3,0),0)*IF(B33="Activity",1+MAX(0,N(F33)),1))</f>
        <v/>
      </c>
    </row>
    <row r="34" ht="18" customHeight="1">
      <c r="A34" s="22" t="n"/>
      <c r="B34" s="22" t="n"/>
      <c r="C34" s="22" t="n"/>
      <c r="D34" s="5" t="n"/>
      <c r="E34" s="24" t="n"/>
      <c r="F34" s="5" t="n"/>
      <c r="G34" s="5" t="n"/>
      <c r="H34" s="5" t="n"/>
      <c r="I34" s="8">
        <f>IF(B34="","",IFERROR(VLOOKUP(B34,Listas!$B$2:$C$13,2,0),1))</f>
        <v/>
      </c>
      <c r="J34" s="25">
        <f>IF(OR(A34="",B34=""),"",IF(B34="Activity",MAX(0,N(D34))*(MIN(100,MAX(0,N(E34)))/100)*(1+MAX(0,N(F34))+MAX(0,N(G34))),MAX(0,N(D34))*(MIN(100,MAX(0,N(E34)))/100)*I34))</f>
        <v/>
      </c>
      <c r="K34" s="25">
        <f>IF(OR(A34="",B34=""),"",MAX(0,N(D34))*(MIN(100,MAX(0,N(E34)))/100)*MAX(0,N(H34))*IFERROR(VLOOKUP(B34,Listas!$B$2:$D$13,3,0),0)*IF(B34="Activity",1+MAX(0,N(F34)),1))</f>
        <v/>
      </c>
    </row>
    <row r="35" ht="18" customHeight="1">
      <c r="A35" s="22" t="n"/>
      <c r="B35" s="22" t="n"/>
      <c r="C35" s="22" t="n"/>
      <c r="D35" s="5" t="n"/>
      <c r="E35" s="24" t="n"/>
      <c r="F35" s="5" t="n"/>
      <c r="G35" s="5" t="n"/>
      <c r="H35" s="5" t="n"/>
      <c r="I35" s="8">
        <f>IF(B35="","",IFERROR(VLOOKUP(B35,Listas!$B$2:$C$13,2,0),1))</f>
        <v/>
      </c>
      <c r="J35" s="25">
        <f>IF(OR(A35="",B35=""),"",IF(B35="Activity",MAX(0,N(D35))*(MIN(100,MAX(0,N(E35)))/100)*(1+MAX(0,N(F35))+MAX(0,N(G35))),MAX(0,N(D35))*(MIN(100,MAX(0,N(E35)))/100)*I35))</f>
        <v/>
      </c>
      <c r="K35" s="25">
        <f>IF(OR(A35="",B35=""),"",MAX(0,N(D35))*(MIN(100,MAX(0,N(E35)))/100)*MAX(0,N(H35))*IFERROR(VLOOKUP(B35,Listas!$B$2:$D$13,3,0),0)*IF(B35="Activity",1+MAX(0,N(F35)),1))</f>
        <v/>
      </c>
    </row>
    <row r="36" ht="18" customHeight="1">
      <c r="A36" s="22" t="n"/>
      <c r="B36" s="22" t="n"/>
      <c r="C36" s="22" t="n"/>
      <c r="D36" s="5" t="n"/>
      <c r="E36" s="24" t="n"/>
      <c r="F36" s="5" t="n"/>
      <c r="G36" s="5" t="n"/>
      <c r="H36" s="5" t="n"/>
      <c r="I36" s="8">
        <f>IF(B36="","",IFERROR(VLOOKUP(B36,Listas!$B$2:$C$13,2,0),1))</f>
        <v/>
      </c>
      <c r="J36" s="25">
        <f>IF(OR(A36="",B36=""),"",IF(B36="Activity",MAX(0,N(D36))*(MIN(100,MAX(0,N(E36)))/100)*(1+MAX(0,N(F36))+MAX(0,N(G36))),MAX(0,N(D36))*(MIN(100,MAX(0,N(E36)))/100)*I36))</f>
        <v/>
      </c>
      <c r="K36" s="25">
        <f>IF(OR(A36="",B36=""),"",MAX(0,N(D36))*(MIN(100,MAX(0,N(E36)))/100)*MAX(0,N(H36))*IFERROR(VLOOKUP(B36,Listas!$B$2:$D$13,3,0),0)*IF(B36="Activity",1+MAX(0,N(F36)),1))</f>
        <v/>
      </c>
    </row>
    <row r="37" ht="18" customHeight="1">
      <c r="A37" s="22" t="n"/>
      <c r="B37" s="22" t="n"/>
      <c r="C37" s="22" t="n"/>
      <c r="D37" s="5" t="n"/>
      <c r="E37" s="24" t="n"/>
      <c r="F37" s="5" t="n"/>
      <c r="G37" s="5" t="n"/>
      <c r="H37" s="5" t="n"/>
      <c r="I37" s="8">
        <f>IF(B37="","",IFERROR(VLOOKUP(B37,Listas!$B$2:$C$13,2,0),1))</f>
        <v/>
      </c>
      <c r="J37" s="25">
        <f>IF(OR(A37="",B37=""),"",IF(B37="Activity",MAX(0,N(D37))*(MIN(100,MAX(0,N(E37)))/100)*(1+MAX(0,N(F37))+MAX(0,N(G37))),MAX(0,N(D37))*(MIN(100,MAX(0,N(E37)))/100)*I37))</f>
        <v/>
      </c>
      <c r="K37" s="25">
        <f>IF(OR(A37="",B37=""),"",MAX(0,N(D37))*(MIN(100,MAX(0,N(E37)))/100)*MAX(0,N(H37))*IFERROR(VLOOKUP(B37,Listas!$B$2:$D$13,3,0),0)*IF(B37="Activity",1+MAX(0,N(F37)),1))</f>
        <v/>
      </c>
    </row>
    <row r="38" ht="18" customHeight="1">
      <c r="A38" s="22" t="n"/>
      <c r="B38" s="22" t="n"/>
      <c r="C38" s="22" t="n"/>
      <c r="D38" s="5" t="n"/>
      <c r="E38" s="24" t="n"/>
      <c r="F38" s="5" t="n"/>
      <c r="G38" s="5" t="n"/>
      <c r="H38" s="5" t="n"/>
      <c r="I38" s="8">
        <f>IF(B38="","",IFERROR(VLOOKUP(B38,Listas!$B$2:$C$13,2,0),1))</f>
        <v/>
      </c>
      <c r="J38" s="25">
        <f>IF(OR(A38="",B38=""),"",IF(B38="Activity",MAX(0,N(D38))*(MIN(100,MAX(0,N(E38)))/100)*(1+MAX(0,N(F38))+MAX(0,N(G38))),MAX(0,N(D38))*(MIN(100,MAX(0,N(E38)))/100)*I38))</f>
        <v/>
      </c>
      <c r="K38" s="25">
        <f>IF(OR(A38="",B38=""),"",MAX(0,N(D38))*(MIN(100,MAX(0,N(E38)))/100)*MAX(0,N(H38))*IFERROR(VLOOKUP(B38,Listas!$B$2:$D$13,3,0),0)*IF(B38="Activity",1+MAX(0,N(F38)),1))</f>
        <v/>
      </c>
    </row>
    <row r="39" ht="18" customHeight="1">
      <c r="A39" s="22" t="n"/>
      <c r="B39" s="22" t="n"/>
      <c r="C39" s="22" t="n"/>
      <c r="D39" s="5" t="n"/>
      <c r="E39" s="24" t="n"/>
      <c r="F39" s="5" t="n"/>
      <c r="G39" s="5" t="n"/>
      <c r="H39" s="5" t="n"/>
      <c r="I39" s="8">
        <f>IF(B39="","",IFERROR(VLOOKUP(B39,Listas!$B$2:$C$13,2,0),1))</f>
        <v/>
      </c>
      <c r="J39" s="25">
        <f>IF(OR(A39="",B39=""),"",IF(B39="Activity",MAX(0,N(D39))*(MIN(100,MAX(0,N(E39)))/100)*(1+MAX(0,N(F39))+MAX(0,N(G39))),MAX(0,N(D39))*(MIN(100,MAX(0,N(E39)))/100)*I39))</f>
        <v/>
      </c>
      <c r="K39" s="25">
        <f>IF(OR(A39="",B39=""),"",MAX(0,N(D39))*(MIN(100,MAX(0,N(E39)))/100)*MAX(0,N(H39))*IFERROR(VLOOKUP(B39,Listas!$B$2:$D$13,3,0),0)*IF(B39="Activity",1+MAX(0,N(F39)),1))</f>
        <v/>
      </c>
    </row>
    <row r="40" ht="18" customHeight="1">
      <c r="A40" s="22" t="n"/>
      <c r="B40" s="22" t="n"/>
      <c r="C40" s="22" t="n"/>
      <c r="D40" s="5" t="n"/>
      <c r="E40" s="24" t="n"/>
      <c r="F40" s="5" t="n"/>
      <c r="G40" s="5" t="n"/>
      <c r="H40" s="5" t="n"/>
      <c r="I40" s="8">
        <f>IF(B40="","",IFERROR(VLOOKUP(B40,Listas!$B$2:$C$13,2,0),1))</f>
        <v/>
      </c>
      <c r="J40" s="25">
        <f>IF(OR(A40="",B40=""),"",IF(B40="Activity",MAX(0,N(D40))*(MIN(100,MAX(0,N(E40)))/100)*(1+MAX(0,N(F40))+MAX(0,N(G40))),MAX(0,N(D40))*(MIN(100,MAX(0,N(E40)))/100)*I40))</f>
        <v/>
      </c>
      <c r="K40" s="25">
        <f>IF(OR(A40="",B40=""),"",MAX(0,N(D40))*(MIN(100,MAX(0,N(E40)))/100)*MAX(0,N(H40))*IFERROR(VLOOKUP(B40,Listas!$B$2:$D$13,3,0),0)*IF(B40="Activity",1+MAX(0,N(F40)),1))</f>
        <v/>
      </c>
    </row>
    <row r="41" ht="18" customHeight="1">
      <c r="A41" s="22" t="n"/>
      <c r="B41" s="22" t="n"/>
      <c r="C41" s="22" t="n"/>
      <c r="D41" s="5" t="n"/>
      <c r="E41" s="24" t="n"/>
      <c r="F41" s="5" t="n"/>
      <c r="G41" s="5" t="n"/>
      <c r="H41" s="5" t="n"/>
      <c r="I41" s="8">
        <f>IF(B41="","",IFERROR(VLOOKUP(B41,Listas!$B$2:$C$13,2,0),1))</f>
        <v/>
      </c>
      <c r="J41" s="25">
        <f>IF(OR(A41="",B41=""),"",IF(B41="Activity",MAX(0,N(D41))*(MIN(100,MAX(0,N(E41)))/100)*(1+MAX(0,N(F41))+MAX(0,N(G41))),MAX(0,N(D41))*(MIN(100,MAX(0,N(E41)))/100)*I41))</f>
        <v/>
      </c>
      <c r="K41" s="25">
        <f>IF(OR(A41="",B41=""),"",MAX(0,N(D41))*(MIN(100,MAX(0,N(E41)))/100)*MAX(0,N(H41))*IFERROR(VLOOKUP(B41,Listas!$B$2:$D$13,3,0),0)*IF(B41="Activity",1+MAX(0,N(F41)),1))</f>
        <v/>
      </c>
    </row>
    <row r="42" ht="18" customHeight="1">
      <c r="A42" s="22" t="n"/>
      <c r="B42" s="22" t="n"/>
      <c r="C42" s="22" t="n"/>
      <c r="D42" s="5" t="n"/>
      <c r="E42" s="24" t="n"/>
      <c r="F42" s="5" t="n"/>
      <c r="G42" s="5" t="n"/>
      <c r="H42" s="5" t="n"/>
      <c r="I42" s="8">
        <f>IF(B42="","",IFERROR(VLOOKUP(B42,Listas!$B$2:$C$13,2,0),1))</f>
        <v/>
      </c>
      <c r="J42" s="25">
        <f>IF(OR(A42="",B42=""),"",IF(B42="Activity",MAX(0,N(D42))*(MIN(100,MAX(0,N(E42)))/100)*(1+MAX(0,N(F42))+MAX(0,N(G42))),MAX(0,N(D42))*(MIN(100,MAX(0,N(E42)))/100)*I42))</f>
        <v/>
      </c>
      <c r="K42" s="25">
        <f>IF(OR(A42="",B42=""),"",MAX(0,N(D42))*(MIN(100,MAX(0,N(E42)))/100)*MAX(0,N(H42))*IFERROR(VLOOKUP(B42,Listas!$B$2:$D$13,3,0),0)*IF(B42="Activity",1+MAX(0,N(F42)),1))</f>
        <v/>
      </c>
    </row>
    <row r="43" ht="18" customHeight="1">
      <c r="A43" s="22" t="n"/>
      <c r="B43" s="22" t="n"/>
      <c r="C43" s="22" t="n"/>
      <c r="D43" s="5" t="n"/>
      <c r="E43" s="24" t="n"/>
      <c r="F43" s="5" t="n"/>
      <c r="G43" s="5" t="n"/>
      <c r="H43" s="5" t="n"/>
      <c r="I43" s="8">
        <f>IF(B43="","",IFERROR(VLOOKUP(B43,Listas!$B$2:$C$13,2,0),1))</f>
        <v/>
      </c>
      <c r="J43" s="25">
        <f>IF(OR(A43="",B43=""),"",IF(B43="Activity",MAX(0,N(D43))*(MIN(100,MAX(0,N(E43)))/100)*(1+MAX(0,N(F43))+MAX(0,N(G43))),MAX(0,N(D43))*(MIN(100,MAX(0,N(E43)))/100)*I43))</f>
        <v/>
      </c>
      <c r="K43" s="25">
        <f>IF(OR(A43="",B43=""),"",MAX(0,N(D43))*(MIN(100,MAX(0,N(E43)))/100)*MAX(0,N(H43))*IFERROR(VLOOKUP(B43,Listas!$B$2:$D$13,3,0),0)*IF(B43="Activity",1+MAX(0,N(F43)),1))</f>
        <v/>
      </c>
    </row>
    <row r="44" ht="18" customHeight="1">
      <c r="A44" s="22" t="n"/>
      <c r="B44" s="22" t="n"/>
      <c r="C44" s="22" t="n"/>
      <c r="D44" s="5" t="n"/>
      <c r="E44" s="24" t="n"/>
      <c r="F44" s="5" t="n"/>
      <c r="G44" s="5" t="n"/>
      <c r="H44" s="5" t="n"/>
      <c r="I44" s="8">
        <f>IF(B44="","",IFERROR(VLOOKUP(B44,Listas!$B$2:$C$13,2,0),1))</f>
        <v/>
      </c>
      <c r="J44" s="25">
        <f>IF(OR(A44="",B44=""),"",IF(B44="Activity",MAX(0,N(D44))*(MIN(100,MAX(0,N(E44)))/100)*(1+MAX(0,N(F44))+MAX(0,N(G44))),MAX(0,N(D44))*(MIN(100,MAX(0,N(E44)))/100)*I44))</f>
        <v/>
      </c>
      <c r="K44" s="25">
        <f>IF(OR(A44="",B44=""),"",MAX(0,N(D44))*(MIN(100,MAX(0,N(E44)))/100)*MAX(0,N(H44))*IFERROR(VLOOKUP(B44,Listas!$B$2:$D$13,3,0),0)*IF(B44="Activity",1+MAX(0,N(F44)),1))</f>
        <v/>
      </c>
    </row>
    <row r="45" ht="18" customHeight="1">
      <c r="A45" s="22" t="n"/>
      <c r="B45" s="22" t="n"/>
      <c r="C45" s="22" t="n"/>
      <c r="D45" s="5" t="n"/>
      <c r="E45" s="24" t="n"/>
      <c r="F45" s="5" t="n"/>
      <c r="G45" s="5" t="n"/>
      <c r="H45" s="5" t="n"/>
      <c r="I45" s="8">
        <f>IF(B45="","",IFERROR(VLOOKUP(B45,Listas!$B$2:$C$13,2,0),1))</f>
        <v/>
      </c>
      <c r="J45" s="25">
        <f>IF(OR(A45="",B45=""),"",IF(B45="Activity",MAX(0,N(D45))*(MIN(100,MAX(0,N(E45)))/100)*(1+MAX(0,N(F45))+MAX(0,N(G45))),MAX(0,N(D45))*(MIN(100,MAX(0,N(E45)))/100)*I45))</f>
        <v/>
      </c>
      <c r="K45" s="25">
        <f>IF(OR(A45="",B45=""),"",MAX(0,N(D45))*(MIN(100,MAX(0,N(E45)))/100)*MAX(0,N(H45))*IFERROR(VLOOKUP(B45,Listas!$B$2:$D$13,3,0),0)*IF(B45="Activity",1+MAX(0,N(F45)),1))</f>
        <v/>
      </c>
    </row>
    <row r="46" ht="18" customHeight="1">
      <c r="A46" s="22" t="n"/>
      <c r="B46" s="22" t="n"/>
      <c r="C46" s="22" t="n"/>
      <c r="D46" s="5" t="n"/>
      <c r="E46" s="24" t="n"/>
      <c r="F46" s="5" t="n"/>
      <c r="G46" s="5" t="n"/>
      <c r="H46" s="5" t="n"/>
      <c r="I46" s="8">
        <f>IF(B46="","",IFERROR(VLOOKUP(B46,Listas!$B$2:$C$13,2,0),1))</f>
        <v/>
      </c>
      <c r="J46" s="25">
        <f>IF(OR(A46="",B46=""),"",IF(B46="Activity",MAX(0,N(D46))*(MIN(100,MAX(0,N(E46)))/100)*(1+MAX(0,N(F46))+MAX(0,N(G46))),MAX(0,N(D46))*(MIN(100,MAX(0,N(E46)))/100)*I46))</f>
        <v/>
      </c>
      <c r="K46" s="25">
        <f>IF(OR(A46="",B46=""),"",MAX(0,N(D46))*(MIN(100,MAX(0,N(E46)))/100)*MAX(0,N(H46))*IFERROR(VLOOKUP(B46,Listas!$B$2:$D$13,3,0),0)*IF(B46="Activity",1+MAX(0,N(F46)),1))</f>
        <v/>
      </c>
    </row>
    <row r="47" ht="18" customHeight="1">
      <c r="A47" s="22" t="n"/>
      <c r="B47" s="22" t="n"/>
      <c r="C47" s="22" t="n"/>
      <c r="D47" s="5" t="n"/>
      <c r="E47" s="24" t="n"/>
      <c r="F47" s="5" t="n"/>
      <c r="G47" s="5" t="n"/>
      <c r="H47" s="5" t="n"/>
      <c r="I47" s="8">
        <f>IF(B47="","",IFERROR(VLOOKUP(B47,Listas!$B$2:$C$13,2,0),1))</f>
        <v/>
      </c>
      <c r="J47" s="25">
        <f>IF(OR(A47="",B47=""),"",IF(B47="Activity",MAX(0,N(D47))*(MIN(100,MAX(0,N(E47)))/100)*(1+MAX(0,N(F47))+MAX(0,N(G47))),MAX(0,N(D47))*(MIN(100,MAX(0,N(E47)))/100)*I47))</f>
        <v/>
      </c>
      <c r="K47" s="25">
        <f>IF(OR(A47="",B47=""),"",MAX(0,N(D47))*(MIN(100,MAX(0,N(E47)))/100)*MAX(0,N(H47))*IFERROR(VLOOKUP(B47,Listas!$B$2:$D$13,3,0),0)*IF(B47="Activity",1+MAX(0,N(F47)),1))</f>
        <v/>
      </c>
    </row>
    <row r="48" ht="18" customHeight="1">
      <c r="A48" s="22" t="n"/>
      <c r="B48" s="22" t="n"/>
      <c r="C48" s="22" t="n"/>
      <c r="D48" s="5" t="n"/>
      <c r="E48" s="24" t="n"/>
      <c r="F48" s="5" t="n"/>
      <c r="G48" s="5" t="n"/>
      <c r="H48" s="5" t="n"/>
      <c r="I48" s="8">
        <f>IF(B48="","",IFERROR(VLOOKUP(B48,Listas!$B$2:$C$13,2,0),1))</f>
        <v/>
      </c>
      <c r="J48" s="25">
        <f>IF(OR(A48="",B48=""),"",IF(B48="Activity",MAX(0,N(D48))*(MIN(100,MAX(0,N(E48)))/100)*(1+MAX(0,N(F48))+MAX(0,N(G48))),MAX(0,N(D48))*(MIN(100,MAX(0,N(E48)))/100)*I48))</f>
        <v/>
      </c>
      <c r="K48" s="25">
        <f>IF(OR(A48="",B48=""),"",MAX(0,N(D48))*(MIN(100,MAX(0,N(E48)))/100)*MAX(0,N(H48))*IFERROR(VLOOKUP(B48,Listas!$B$2:$D$13,3,0),0)*IF(B48="Activity",1+MAX(0,N(F48)),1))</f>
        <v/>
      </c>
    </row>
    <row r="49" ht="18" customHeight="1">
      <c r="A49" s="22" t="n"/>
      <c r="B49" s="22" t="n"/>
      <c r="C49" s="22" t="n"/>
      <c r="D49" s="5" t="n"/>
      <c r="E49" s="24" t="n"/>
      <c r="F49" s="5" t="n"/>
      <c r="G49" s="5" t="n"/>
      <c r="H49" s="5" t="n"/>
      <c r="I49" s="8">
        <f>IF(B49="","",IFERROR(VLOOKUP(B49,Listas!$B$2:$C$13,2,0),1))</f>
        <v/>
      </c>
      <c r="J49" s="25">
        <f>IF(OR(A49="",B49=""),"",IF(B49="Activity",MAX(0,N(D49))*(MIN(100,MAX(0,N(E49)))/100)*(1+MAX(0,N(F49))+MAX(0,N(G49))),MAX(0,N(D49))*(MIN(100,MAX(0,N(E49)))/100)*I49))</f>
        <v/>
      </c>
      <c r="K49" s="25">
        <f>IF(OR(A49="",B49=""),"",MAX(0,N(D49))*(MIN(100,MAX(0,N(E49)))/100)*MAX(0,N(H49))*IFERROR(VLOOKUP(B49,Listas!$B$2:$D$13,3,0),0)*IF(B49="Activity",1+MAX(0,N(F49)),1))</f>
        <v/>
      </c>
    </row>
    <row r="50" ht="18" customHeight="1">
      <c r="A50" s="22" t="n"/>
      <c r="B50" s="22" t="n"/>
      <c r="C50" s="22" t="n"/>
      <c r="D50" s="5" t="n"/>
      <c r="E50" s="24" t="n"/>
      <c r="F50" s="5" t="n"/>
      <c r="G50" s="5" t="n"/>
      <c r="H50" s="5" t="n"/>
      <c r="I50" s="8">
        <f>IF(B50="","",IFERROR(VLOOKUP(B50,Listas!$B$2:$C$13,2,0),1))</f>
        <v/>
      </c>
      <c r="J50" s="25">
        <f>IF(OR(A50="",B50=""),"",IF(B50="Activity",MAX(0,N(D50))*(MIN(100,MAX(0,N(E50)))/100)*(1+MAX(0,N(F50))+MAX(0,N(G50))),MAX(0,N(D50))*(MIN(100,MAX(0,N(E50)))/100)*I50))</f>
        <v/>
      </c>
      <c r="K50" s="25">
        <f>IF(OR(A50="",B50=""),"",MAX(0,N(D50))*(MIN(100,MAX(0,N(E50)))/100)*MAX(0,N(H50))*IFERROR(VLOOKUP(B50,Listas!$B$2:$D$13,3,0),0)*IF(B50="Activity",1+MAX(0,N(F50)),1))</f>
        <v/>
      </c>
    </row>
    <row r="51" ht="18" customHeight="1">
      <c r="A51" s="22" t="n"/>
      <c r="B51" s="22" t="n"/>
      <c r="C51" s="22" t="n"/>
      <c r="D51" s="5" t="n"/>
      <c r="E51" s="24" t="n"/>
      <c r="F51" s="5" t="n"/>
      <c r="G51" s="5" t="n"/>
      <c r="H51" s="5" t="n"/>
      <c r="I51" s="8">
        <f>IF(B51="","",IFERROR(VLOOKUP(B51,Listas!$B$2:$C$13,2,0),1))</f>
        <v/>
      </c>
      <c r="J51" s="25">
        <f>IF(OR(A51="",B51=""),"",IF(B51="Activity",MAX(0,N(D51))*(MIN(100,MAX(0,N(E51)))/100)*(1+MAX(0,N(F51))+MAX(0,N(G51))),MAX(0,N(D51))*(MIN(100,MAX(0,N(E51)))/100)*I51))</f>
        <v/>
      </c>
      <c r="K51" s="25">
        <f>IF(OR(A51="",B51=""),"",MAX(0,N(D51))*(MIN(100,MAX(0,N(E51)))/100)*MAX(0,N(H51))*IFERROR(VLOOKUP(B51,Listas!$B$2:$D$13,3,0),0)*IF(B51="Activity",1+MAX(0,N(F51)),1))</f>
        <v/>
      </c>
    </row>
    <row r="52" ht="18" customHeight="1">
      <c r="A52" s="22" t="n"/>
      <c r="B52" s="22" t="n"/>
      <c r="C52" s="22" t="n"/>
      <c r="D52" s="5" t="n"/>
      <c r="E52" s="24" t="n"/>
      <c r="F52" s="5" t="n"/>
      <c r="G52" s="5" t="n"/>
      <c r="H52" s="5" t="n"/>
      <c r="I52" s="8">
        <f>IF(B52="","",IFERROR(VLOOKUP(B52,Listas!$B$2:$C$13,2,0),1))</f>
        <v/>
      </c>
      <c r="J52" s="25">
        <f>IF(OR(A52="",B52=""),"",IF(B52="Activity",MAX(0,N(D52))*(MIN(100,MAX(0,N(E52)))/100)*(1+MAX(0,N(F52))+MAX(0,N(G52))),MAX(0,N(D52))*(MIN(100,MAX(0,N(E52)))/100)*I52))</f>
        <v/>
      </c>
      <c r="K52" s="25">
        <f>IF(OR(A52="",B52=""),"",MAX(0,N(D52))*(MIN(100,MAX(0,N(E52)))/100)*MAX(0,N(H52))*IFERROR(VLOOKUP(B52,Listas!$B$2:$D$13,3,0),0)*IF(B52="Activity",1+MAX(0,N(F52)),1))</f>
        <v/>
      </c>
    </row>
    <row r="53" ht="18" customHeight="1">
      <c r="A53" s="22" t="n"/>
      <c r="B53" s="22" t="n"/>
      <c r="C53" s="22" t="n"/>
      <c r="D53" s="5" t="n"/>
      <c r="E53" s="24" t="n"/>
      <c r="F53" s="5" t="n"/>
      <c r="G53" s="5" t="n"/>
      <c r="H53" s="5" t="n"/>
      <c r="I53" s="8">
        <f>IF(B53="","",IFERROR(VLOOKUP(B53,Listas!$B$2:$C$13,2,0),1))</f>
        <v/>
      </c>
      <c r="J53" s="25">
        <f>IF(OR(A53="",B53=""),"",IF(B53="Activity",MAX(0,N(D53))*(MIN(100,MAX(0,N(E53)))/100)*(1+MAX(0,N(F53))+MAX(0,N(G53))),MAX(0,N(D53))*(MIN(100,MAX(0,N(E53)))/100)*I53))</f>
        <v/>
      </c>
      <c r="K53" s="25">
        <f>IF(OR(A53="",B53=""),"",MAX(0,N(D53))*(MIN(100,MAX(0,N(E53)))/100)*MAX(0,N(H53))*IFERROR(VLOOKUP(B53,Listas!$B$2:$D$13,3,0),0)*IF(B53="Activity",1+MAX(0,N(F53)),1))</f>
        <v/>
      </c>
    </row>
    <row r="54" ht="18" customHeight="1">
      <c r="A54" s="22" t="n"/>
      <c r="B54" s="22" t="n"/>
      <c r="C54" s="22" t="n"/>
      <c r="D54" s="5" t="n"/>
      <c r="E54" s="24" t="n"/>
      <c r="F54" s="5" t="n"/>
      <c r="G54" s="5" t="n"/>
      <c r="H54" s="5" t="n"/>
      <c r="I54" s="8">
        <f>IF(B54="","",IFERROR(VLOOKUP(B54,Listas!$B$2:$C$13,2,0),1))</f>
        <v/>
      </c>
      <c r="J54" s="25">
        <f>IF(OR(A54="",B54=""),"",IF(B54="Activity",MAX(0,N(D54))*(MIN(100,MAX(0,N(E54)))/100)*(1+MAX(0,N(F54))+MAX(0,N(G54))),MAX(0,N(D54))*(MIN(100,MAX(0,N(E54)))/100)*I54))</f>
        <v/>
      </c>
      <c r="K54" s="25">
        <f>IF(OR(A54="",B54=""),"",MAX(0,N(D54))*(MIN(100,MAX(0,N(E54)))/100)*MAX(0,N(H54))*IFERROR(VLOOKUP(B54,Listas!$B$2:$D$13,3,0),0)*IF(B54="Activity",1+MAX(0,N(F54)),1))</f>
        <v/>
      </c>
    </row>
    <row r="55" ht="18" customHeight="1">
      <c r="A55" s="22" t="n"/>
      <c r="B55" s="22" t="n"/>
      <c r="C55" s="22" t="n"/>
      <c r="D55" s="5" t="n"/>
      <c r="E55" s="24" t="n"/>
      <c r="F55" s="5" t="n"/>
      <c r="G55" s="5" t="n"/>
      <c r="H55" s="5" t="n"/>
      <c r="I55" s="8">
        <f>IF(B55="","",IFERROR(VLOOKUP(B55,Listas!$B$2:$C$13,2,0),1))</f>
        <v/>
      </c>
      <c r="J55" s="25">
        <f>IF(OR(A55="",B55=""),"",IF(B55="Activity",MAX(0,N(D55))*(MIN(100,MAX(0,N(E55)))/100)*(1+MAX(0,N(F55))+MAX(0,N(G55))),MAX(0,N(D55))*(MIN(100,MAX(0,N(E55)))/100)*I55))</f>
        <v/>
      </c>
      <c r="K55" s="25">
        <f>IF(OR(A55="",B55=""),"",MAX(0,N(D55))*(MIN(100,MAX(0,N(E55)))/100)*MAX(0,N(H55))*IFERROR(VLOOKUP(B55,Listas!$B$2:$D$13,3,0),0)*IF(B55="Activity",1+MAX(0,N(F55)),1))</f>
        <v/>
      </c>
    </row>
    <row r="56" ht="18" customHeight="1">
      <c r="A56" s="22" t="n"/>
      <c r="B56" s="22" t="n"/>
      <c r="C56" s="22" t="n"/>
      <c r="D56" s="5" t="n"/>
      <c r="E56" s="24" t="n"/>
      <c r="F56" s="5" t="n"/>
      <c r="G56" s="5" t="n"/>
      <c r="H56" s="5" t="n"/>
      <c r="I56" s="8">
        <f>IF(B56="","",IFERROR(VLOOKUP(B56,Listas!$B$2:$C$13,2,0),1))</f>
        <v/>
      </c>
      <c r="J56" s="25">
        <f>IF(OR(A56="",B56=""),"",IF(B56="Activity",MAX(0,N(D56))*(MIN(100,MAX(0,N(E56)))/100)*(1+MAX(0,N(F56))+MAX(0,N(G56))),MAX(0,N(D56))*(MIN(100,MAX(0,N(E56)))/100)*I56))</f>
        <v/>
      </c>
      <c r="K56" s="25">
        <f>IF(OR(A56="",B56=""),"",MAX(0,N(D56))*(MIN(100,MAX(0,N(E56)))/100)*MAX(0,N(H56))*IFERROR(VLOOKUP(B56,Listas!$B$2:$D$13,3,0),0)*IF(B56="Activity",1+MAX(0,N(F56)),1))</f>
        <v/>
      </c>
    </row>
    <row r="57" ht="18" customHeight="1">
      <c r="A57" s="22" t="n"/>
      <c r="B57" s="22" t="n"/>
      <c r="C57" s="22" t="n"/>
      <c r="D57" s="5" t="n"/>
      <c r="E57" s="24" t="n"/>
      <c r="F57" s="5" t="n"/>
      <c r="G57" s="5" t="n"/>
      <c r="H57" s="5" t="n"/>
      <c r="I57" s="8">
        <f>IF(B57="","",IFERROR(VLOOKUP(B57,Listas!$B$2:$C$13,2,0),1))</f>
        <v/>
      </c>
      <c r="J57" s="25">
        <f>IF(OR(A57="",B57=""),"",IF(B57="Activity",MAX(0,N(D57))*(MIN(100,MAX(0,N(E57)))/100)*(1+MAX(0,N(F57))+MAX(0,N(G57))),MAX(0,N(D57))*(MIN(100,MAX(0,N(E57)))/100)*I57))</f>
        <v/>
      </c>
      <c r="K57" s="25">
        <f>IF(OR(A57="",B57=""),"",MAX(0,N(D57))*(MIN(100,MAX(0,N(E57)))/100)*MAX(0,N(H57))*IFERROR(VLOOKUP(B57,Listas!$B$2:$D$13,3,0),0)*IF(B57="Activity",1+MAX(0,N(F57)),1))</f>
        <v/>
      </c>
    </row>
    <row r="58" ht="18" customHeight="1">
      <c r="A58" s="22" t="n"/>
      <c r="B58" s="22" t="n"/>
      <c r="C58" s="22" t="n"/>
      <c r="D58" s="5" t="n"/>
      <c r="E58" s="24" t="n"/>
      <c r="F58" s="5" t="n"/>
      <c r="G58" s="5" t="n"/>
      <c r="H58" s="5" t="n"/>
      <c r="I58" s="8">
        <f>IF(B58="","",IFERROR(VLOOKUP(B58,Listas!$B$2:$C$13,2,0),1))</f>
        <v/>
      </c>
      <c r="J58" s="25">
        <f>IF(OR(A58="",B58=""),"",IF(B58="Activity",MAX(0,N(D58))*(MIN(100,MAX(0,N(E58)))/100)*(1+MAX(0,N(F58))+MAX(0,N(G58))),MAX(0,N(D58))*(MIN(100,MAX(0,N(E58)))/100)*I58))</f>
        <v/>
      </c>
      <c r="K58" s="25">
        <f>IF(OR(A58="",B58=""),"",MAX(0,N(D58))*(MIN(100,MAX(0,N(E58)))/100)*MAX(0,N(H58))*IFERROR(VLOOKUP(B58,Listas!$B$2:$D$13,3,0),0)*IF(B58="Activity",1+MAX(0,N(F58)),1))</f>
        <v/>
      </c>
    </row>
    <row r="59" ht="18" customHeight="1">
      <c r="A59" s="22" t="n"/>
      <c r="B59" s="22" t="n"/>
      <c r="C59" s="22" t="n"/>
      <c r="D59" s="5" t="n"/>
      <c r="E59" s="24" t="n"/>
      <c r="F59" s="5" t="n"/>
      <c r="G59" s="5" t="n"/>
      <c r="H59" s="5" t="n"/>
      <c r="I59" s="8">
        <f>IF(B59="","",IFERROR(VLOOKUP(B59,Listas!$B$2:$C$13,2,0),1))</f>
        <v/>
      </c>
      <c r="J59" s="25">
        <f>IF(OR(A59="",B59=""),"",IF(B59="Activity",MAX(0,N(D59))*(MIN(100,MAX(0,N(E59)))/100)*(1+MAX(0,N(F59))+MAX(0,N(G59))),MAX(0,N(D59))*(MIN(100,MAX(0,N(E59)))/100)*I59))</f>
        <v/>
      </c>
      <c r="K59" s="25">
        <f>IF(OR(A59="",B59=""),"",MAX(0,N(D59))*(MIN(100,MAX(0,N(E59)))/100)*MAX(0,N(H59))*IFERROR(VLOOKUP(B59,Listas!$B$2:$D$13,3,0),0)*IF(B59="Activity",1+MAX(0,N(F59)),1))</f>
        <v/>
      </c>
    </row>
    <row r="60" ht="18" customHeight="1">
      <c r="A60" s="22" t="n"/>
      <c r="B60" s="22" t="n"/>
      <c r="C60" s="22" t="n"/>
      <c r="D60" s="5" t="n"/>
      <c r="E60" s="24" t="n"/>
      <c r="F60" s="5" t="n"/>
      <c r="G60" s="5" t="n"/>
      <c r="H60" s="5" t="n"/>
      <c r="I60" s="8">
        <f>IF(B60="","",IFERROR(VLOOKUP(B60,Listas!$B$2:$C$13,2,0),1))</f>
        <v/>
      </c>
      <c r="J60" s="25">
        <f>IF(OR(A60="",B60=""),"",IF(B60="Activity",MAX(0,N(D60))*(MIN(100,MAX(0,N(E60)))/100)*(1+MAX(0,N(F60))+MAX(0,N(G60))),MAX(0,N(D60))*(MIN(100,MAX(0,N(E60)))/100)*I60))</f>
        <v/>
      </c>
      <c r="K60" s="25">
        <f>IF(OR(A60="",B60=""),"",MAX(0,N(D60))*(MIN(100,MAX(0,N(E60)))/100)*MAX(0,N(H60))*IFERROR(VLOOKUP(B60,Listas!$B$2:$D$13,3,0),0)*IF(B60="Activity",1+MAX(0,N(F60)),1))</f>
        <v/>
      </c>
    </row>
    <row r="61" ht="18" customHeight="1">
      <c r="A61" s="22" t="n"/>
      <c r="B61" s="22" t="n"/>
      <c r="C61" s="22" t="n"/>
      <c r="D61" s="5" t="n"/>
      <c r="E61" s="24" t="n"/>
      <c r="F61" s="5" t="n"/>
      <c r="G61" s="5" t="n"/>
      <c r="H61" s="5" t="n"/>
      <c r="I61" s="8">
        <f>IF(B61="","",IFERROR(VLOOKUP(B61,Listas!$B$2:$C$13,2,0),1))</f>
        <v/>
      </c>
      <c r="J61" s="25">
        <f>IF(OR(A61="",B61=""),"",IF(B61="Activity",MAX(0,N(D61))*(MIN(100,MAX(0,N(E61)))/100)*(1+MAX(0,N(F61))+MAX(0,N(G61))),MAX(0,N(D61))*(MIN(100,MAX(0,N(E61)))/100)*I61))</f>
        <v/>
      </c>
      <c r="K61" s="25">
        <f>IF(OR(A61="",B61=""),"",MAX(0,N(D61))*(MIN(100,MAX(0,N(E61)))/100)*MAX(0,N(H61))*IFERROR(VLOOKUP(B61,Listas!$B$2:$D$13,3,0),0)*IF(B61="Activity",1+MAX(0,N(F61)),1))</f>
        <v/>
      </c>
    </row>
    <row r="62" ht="18" customHeight="1">
      <c r="A62" s="22" t="n"/>
      <c r="B62" s="22" t="n"/>
      <c r="C62" s="22" t="n"/>
      <c r="D62" s="5" t="n"/>
      <c r="E62" s="24" t="n"/>
      <c r="F62" s="5" t="n"/>
      <c r="G62" s="5" t="n"/>
      <c r="H62" s="5" t="n"/>
      <c r="I62" s="8">
        <f>IF(B62="","",IFERROR(VLOOKUP(B62,Listas!$B$2:$C$13,2,0),1))</f>
        <v/>
      </c>
      <c r="J62" s="25">
        <f>IF(OR(A62="",B62=""),"",IF(B62="Activity",MAX(0,N(D62))*(MIN(100,MAX(0,N(E62)))/100)*(1+MAX(0,N(F62))+MAX(0,N(G62))),MAX(0,N(D62))*(MIN(100,MAX(0,N(E62)))/100)*I62))</f>
        <v/>
      </c>
      <c r="K62" s="25">
        <f>IF(OR(A62="",B62=""),"",MAX(0,N(D62))*(MIN(100,MAX(0,N(E62)))/100)*MAX(0,N(H62))*IFERROR(VLOOKUP(B62,Listas!$B$2:$D$13,3,0),0)*IF(B62="Activity",1+MAX(0,N(F62)),1))</f>
        <v/>
      </c>
    </row>
    <row r="63" ht="18" customHeight="1">
      <c r="A63" s="22" t="n"/>
      <c r="B63" s="22" t="n"/>
      <c r="C63" s="22" t="n"/>
      <c r="D63" s="5" t="n"/>
      <c r="E63" s="24" t="n"/>
      <c r="F63" s="5" t="n"/>
      <c r="G63" s="5" t="n"/>
      <c r="H63" s="5" t="n"/>
      <c r="I63" s="8">
        <f>IF(B63="","",IFERROR(VLOOKUP(B63,Listas!$B$2:$C$13,2,0),1))</f>
        <v/>
      </c>
      <c r="J63" s="25">
        <f>IF(OR(A63="",B63=""),"",IF(B63="Activity",MAX(0,N(D63))*(MIN(100,MAX(0,N(E63)))/100)*(1+MAX(0,N(F63))+MAX(0,N(G63))),MAX(0,N(D63))*(MIN(100,MAX(0,N(E63)))/100)*I63))</f>
        <v/>
      </c>
      <c r="K63" s="25">
        <f>IF(OR(A63="",B63=""),"",MAX(0,N(D63))*(MIN(100,MAX(0,N(E63)))/100)*MAX(0,N(H63))*IFERROR(VLOOKUP(B63,Listas!$B$2:$D$13,3,0),0)*IF(B63="Activity",1+MAX(0,N(F63)),1))</f>
        <v/>
      </c>
    </row>
    <row r="64" ht="18" customHeight="1">
      <c r="A64" s="22" t="n"/>
      <c r="B64" s="22" t="n"/>
      <c r="C64" s="22" t="n"/>
      <c r="D64" s="5" t="n"/>
      <c r="E64" s="24" t="n"/>
      <c r="F64" s="5" t="n"/>
      <c r="G64" s="5" t="n"/>
      <c r="H64" s="5" t="n"/>
      <c r="I64" s="8">
        <f>IF(B64="","",IFERROR(VLOOKUP(B64,Listas!$B$2:$C$13,2,0),1))</f>
        <v/>
      </c>
      <c r="J64" s="25">
        <f>IF(OR(A64="",B64=""),"",IF(B64="Activity",MAX(0,N(D64))*(MIN(100,MAX(0,N(E64)))/100)*(1+MAX(0,N(F64))+MAX(0,N(G64))),MAX(0,N(D64))*(MIN(100,MAX(0,N(E64)))/100)*I64))</f>
        <v/>
      </c>
      <c r="K64" s="25">
        <f>IF(OR(A64="",B64=""),"",MAX(0,N(D64))*(MIN(100,MAX(0,N(E64)))/100)*MAX(0,N(H64))*IFERROR(VLOOKUP(B64,Listas!$B$2:$D$13,3,0),0)*IF(B64="Activity",1+MAX(0,N(F64)),1))</f>
        <v/>
      </c>
    </row>
    <row r="65" ht="18" customHeight="1">
      <c r="A65" s="22" t="n"/>
      <c r="B65" s="22" t="n"/>
      <c r="C65" s="22" t="n"/>
      <c r="D65" s="5" t="n"/>
      <c r="E65" s="24" t="n"/>
      <c r="F65" s="5" t="n"/>
      <c r="G65" s="5" t="n"/>
      <c r="H65" s="5" t="n"/>
      <c r="I65" s="8">
        <f>IF(B65="","",IFERROR(VLOOKUP(B65,Listas!$B$2:$C$13,2,0),1))</f>
        <v/>
      </c>
      <c r="J65" s="25">
        <f>IF(OR(A65="",B65=""),"",IF(B65="Activity",MAX(0,N(D65))*(MIN(100,MAX(0,N(E65)))/100)*(1+MAX(0,N(F65))+MAX(0,N(G65))),MAX(0,N(D65))*(MIN(100,MAX(0,N(E65)))/100)*I65))</f>
        <v/>
      </c>
      <c r="K65" s="25">
        <f>IF(OR(A65="",B65=""),"",MAX(0,N(D65))*(MIN(100,MAX(0,N(E65)))/100)*MAX(0,N(H65))*IFERROR(VLOOKUP(B65,Listas!$B$2:$D$13,3,0),0)*IF(B65="Activity",1+MAX(0,N(F65)),1))</f>
        <v/>
      </c>
    </row>
    <row r="66" ht="18" customHeight="1">
      <c r="A66" s="22" t="n"/>
      <c r="B66" s="22" t="n"/>
      <c r="C66" s="22" t="n"/>
      <c r="D66" s="5" t="n"/>
      <c r="E66" s="24" t="n"/>
      <c r="F66" s="5" t="n"/>
      <c r="G66" s="5" t="n"/>
      <c r="H66" s="5" t="n"/>
      <c r="I66" s="8">
        <f>IF(B66="","",IFERROR(VLOOKUP(B66,Listas!$B$2:$C$13,2,0),1))</f>
        <v/>
      </c>
      <c r="J66" s="25">
        <f>IF(OR(A66="",B66=""),"",IF(B66="Activity",MAX(0,N(D66))*(MIN(100,MAX(0,N(E66)))/100)*(1+MAX(0,N(F66))+MAX(0,N(G66))),MAX(0,N(D66))*(MIN(100,MAX(0,N(E66)))/100)*I66))</f>
        <v/>
      </c>
      <c r="K66" s="25">
        <f>IF(OR(A66="",B66=""),"",MAX(0,N(D66))*(MIN(100,MAX(0,N(E66)))/100)*MAX(0,N(H66))*IFERROR(VLOOKUP(B66,Listas!$B$2:$D$13,3,0),0)*IF(B66="Activity",1+MAX(0,N(F66)),1))</f>
        <v/>
      </c>
    </row>
    <row r="67" ht="18" customHeight="1">
      <c r="A67" s="22" t="n"/>
      <c r="B67" s="22" t="n"/>
      <c r="C67" s="22" t="n"/>
      <c r="D67" s="5" t="n"/>
      <c r="E67" s="24" t="n"/>
      <c r="F67" s="5" t="n"/>
      <c r="G67" s="5" t="n"/>
      <c r="H67" s="5" t="n"/>
      <c r="I67" s="8">
        <f>IF(B67="","",IFERROR(VLOOKUP(B67,Listas!$B$2:$C$13,2,0),1))</f>
        <v/>
      </c>
      <c r="J67" s="25">
        <f>IF(OR(A67="",B67=""),"",IF(B67="Activity",MAX(0,N(D67))*(MIN(100,MAX(0,N(E67)))/100)*(1+MAX(0,N(F67))+MAX(0,N(G67))),MAX(0,N(D67))*(MIN(100,MAX(0,N(E67)))/100)*I67))</f>
        <v/>
      </c>
      <c r="K67" s="25">
        <f>IF(OR(A67="",B67=""),"",MAX(0,N(D67))*(MIN(100,MAX(0,N(E67)))/100)*MAX(0,N(H67))*IFERROR(VLOOKUP(B67,Listas!$B$2:$D$13,3,0),0)*IF(B67="Activity",1+MAX(0,N(F67)),1))</f>
        <v/>
      </c>
    </row>
    <row r="68" ht="18" customHeight="1">
      <c r="A68" s="22" t="n"/>
      <c r="B68" s="22" t="n"/>
      <c r="C68" s="22" t="n"/>
      <c r="D68" s="5" t="n"/>
      <c r="E68" s="24" t="n"/>
      <c r="F68" s="5" t="n"/>
      <c r="G68" s="5" t="n"/>
      <c r="H68" s="5" t="n"/>
      <c r="I68" s="8">
        <f>IF(B68="","",IFERROR(VLOOKUP(B68,Listas!$B$2:$C$13,2,0),1))</f>
        <v/>
      </c>
      <c r="J68" s="25">
        <f>IF(OR(A68="",B68=""),"",IF(B68="Activity",MAX(0,N(D68))*(MIN(100,MAX(0,N(E68)))/100)*(1+MAX(0,N(F68))+MAX(0,N(G68))),MAX(0,N(D68))*(MIN(100,MAX(0,N(E68)))/100)*I68))</f>
        <v/>
      </c>
      <c r="K68" s="25">
        <f>IF(OR(A68="",B68=""),"",MAX(0,N(D68))*(MIN(100,MAX(0,N(E68)))/100)*MAX(0,N(H68))*IFERROR(VLOOKUP(B68,Listas!$B$2:$D$13,3,0),0)*IF(B68="Activity",1+MAX(0,N(F68)),1))</f>
        <v/>
      </c>
    </row>
    <row r="69" ht="18" customHeight="1">
      <c r="A69" s="22" t="n"/>
      <c r="B69" s="22" t="n"/>
      <c r="C69" s="22" t="n"/>
      <c r="D69" s="5" t="n"/>
      <c r="E69" s="24" t="n"/>
      <c r="F69" s="5" t="n"/>
      <c r="G69" s="5" t="n"/>
      <c r="H69" s="5" t="n"/>
      <c r="I69" s="8">
        <f>IF(B69="","",IFERROR(VLOOKUP(B69,Listas!$B$2:$C$13,2,0),1))</f>
        <v/>
      </c>
      <c r="J69" s="25">
        <f>IF(OR(A69="",B69=""),"",IF(B69="Activity",MAX(0,N(D69))*(MIN(100,MAX(0,N(E69)))/100)*(1+MAX(0,N(F69))+MAX(0,N(G69))),MAX(0,N(D69))*(MIN(100,MAX(0,N(E69)))/100)*I69))</f>
        <v/>
      </c>
      <c r="K69" s="25">
        <f>IF(OR(A69="",B69=""),"",MAX(0,N(D69))*(MIN(100,MAX(0,N(E69)))/100)*MAX(0,N(H69))*IFERROR(VLOOKUP(B69,Listas!$B$2:$D$13,3,0),0)*IF(B69="Activity",1+MAX(0,N(F69)),1))</f>
        <v/>
      </c>
    </row>
    <row r="70" ht="18" customHeight="1">
      <c r="A70" s="22" t="n"/>
      <c r="B70" s="22" t="n"/>
      <c r="C70" s="22" t="n"/>
      <c r="D70" s="5" t="n"/>
      <c r="E70" s="24" t="n"/>
      <c r="F70" s="5" t="n"/>
      <c r="G70" s="5" t="n"/>
      <c r="H70" s="5" t="n"/>
      <c r="I70" s="8">
        <f>IF(B70="","",IFERROR(VLOOKUP(B70,Listas!$B$2:$C$13,2,0),1))</f>
        <v/>
      </c>
      <c r="J70" s="25">
        <f>IF(OR(A70="",B70=""),"",IF(B70="Activity",MAX(0,N(D70))*(MIN(100,MAX(0,N(E70)))/100)*(1+MAX(0,N(F70))+MAX(0,N(G70))),MAX(0,N(D70))*(MIN(100,MAX(0,N(E70)))/100)*I70))</f>
        <v/>
      </c>
      <c r="K70" s="25">
        <f>IF(OR(A70="",B70=""),"",MAX(0,N(D70))*(MIN(100,MAX(0,N(E70)))/100)*MAX(0,N(H70))*IFERROR(VLOOKUP(B70,Listas!$B$2:$D$13,3,0),0)*IF(B70="Activity",1+MAX(0,N(F70)),1))</f>
        <v/>
      </c>
    </row>
    <row r="71" ht="18" customHeight="1">
      <c r="A71" s="22" t="n"/>
      <c r="B71" s="22" t="n"/>
      <c r="C71" s="22" t="n"/>
      <c r="D71" s="5" t="n"/>
      <c r="E71" s="24" t="n"/>
      <c r="F71" s="5" t="n"/>
      <c r="G71" s="5" t="n"/>
      <c r="H71" s="5" t="n"/>
      <c r="I71" s="8">
        <f>IF(B71="","",IFERROR(VLOOKUP(B71,Listas!$B$2:$C$13,2,0),1))</f>
        <v/>
      </c>
      <c r="J71" s="25">
        <f>IF(OR(A71="",B71=""),"",IF(B71="Activity",MAX(0,N(D71))*(MIN(100,MAX(0,N(E71)))/100)*(1+MAX(0,N(F71))+MAX(0,N(G71))),MAX(0,N(D71))*(MIN(100,MAX(0,N(E71)))/100)*I71))</f>
        <v/>
      </c>
      <c r="K71" s="25">
        <f>IF(OR(A71="",B71=""),"",MAX(0,N(D71))*(MIN(100,MAX(0,N(E71)))/100)*MAX(0,N(H71))*IFERROR(VLOOKUP(B71,Listas!$B$2:$D$13,3,0),0)*IF(B71="Activity",1+MAX(0,N(F71)),1))</f>
        <v/>
      </c>
    </row>
    <row r="72" ht="18" customHeight="1">
      <c r="A72" s="22" t="n"/>
      <c r="B72" s="22" t="n"/>
      <c r="C72" s="22" t="n"/>
      <c r="D72" s="5" t="n"/>
      <c r="E72" s="24" t="n"/>
      <c r="F72" s="5" t="n"/>
      <c r="G72" s="5" t="n"/>
      <c r="H72" s="5" t="n"/>
      <c r="I72" s="8">
        <f>IF(B72="","",IFERROR(VLOOKUP(B72,Listas!$B$2:$C$13,2,0),1))</f>
        <v/>
      </c>
      <c r="J72" s="25">
        <f>IF(OR(A72="",B72=""),"",IF(B72="Activity",MAX(0,N(D72))*(MIN(100,MAX(0,N(E72)))/100)*(1+MAX(0,N(F72))+MAX(0,N(G72))),MAX(0,N(D72))*(MIN(100,MAX(0,N(E72)))/100)*I72))</f>
        <v/>
      </c>
      <c r="K72" s="25">
        <f>IF(OR(A72="",B72=""),"",MAX(0,N(D72))*(MIN(100,MAX(0,N(E72)))/100)*MAX(0,N(H72))*IFERROR(VLOOKUP(B72,Listas!$B$2:$D$13,3,0),0)*IF(B72="Activity",1+MAX(0,N(F72)),1))</f>
        <v/>
      </c>
    </row>
    <row r="73" ht="18" customHeight="1">
      <c r="A73" s="22" t="n"/>
      <c r="B73" s="22" t="n"/>
      <c r="C73" s="22" t="n"/>
      <c r="D73" s="5" t="n"/>
      <c r="E73" s="24" t="n"/>
      <c r="F73" s="5" t="n"/>
      <c r="G73" s="5" t="n"/>
      <c r="H73" s="5" t="n"/>
      <c r="I73" s="8">
        <f>IF(B73="","",IFERROR(VLOOKUP(B73,Listas!$B$2:$C$13,2,0),1))</f>
        <v/>
      </c>
      <c r="J73" s="25">
        <f>IF(OR(A73="",B73=""),"",IF(B73="Activity",MAX(0,N(D73))*(MIN(100,MAX(0,N(E73)))/100)*(1+MAX(0,N(F73))+MAX(0,N(G73))),MAX(0,N(D73))*(MIN(100,MAX(0,N(E73)))/100)*I73))</f>
        <v/>
      </c>
      <c r="K73" s="25">
        <f>IF(OR(A73="",B73=""),"",MAX(0,N(D73))*(MIN(100,MAX(0,N(E73)))/100)*MAX(0,N(H73))*IFERROR(VLOOKUP(B73,Listas!$B$2:$D$13,3,0),0)*IF(B73="Activity",1+MAX(0,N(F73)),1))</f>
        <v/>
      </c>
    </row>
    <row r="74" ht="18" customHeight="1">
      <c r="A74" s="22" t="n"/>
      <c r="B74" s="22" t="n"/>
      <c r="C74" s="22" t="n"/>
      <c r="D74" s="5" t="n"/>
      <c r="E74" s="24" t="n"/>
      <c r="F74" s="5" t="n"/>
      <c r="G74" s="5" t="n"/>
      <c r="H74" s="5" t="n"/>
      <c r="I74" s="8">
        <f>IF(B74="","",IFERROR(VLOOKUP(B74,Listas!$B$2:$C$13,2,0),1))</f>
        <v/>
      </c>
      <c r="J74" s="25">
        <f>IF(OR(A74="",B74=""),"",IF(B74="Activity",MAX(0,N(D74))*(MIN(100,MAX(0,N(E74)))/100)*(1+MAX(0,N(F74))+MAX(0,N(G74))),MAX(0,N(D74))*(MIN(100,MAX(0,N(E74)))/100)*I74))</f>
        <v/>
      </c>
      <c r="K74" s="25">
        <f>IF(OR(A74="",B74=""),"",MAX(0,N(D74))*(MIN(100,MAX(0,N(E74)))/100)*MAX(0,N(H74))*IFERROR(VLOOKUP(B74,Listas!$B$2:$D$13,3,0),0)*IF(B74="Activity",1+MAX(0,N(F74)),1))</f>
        <v/>
      </c>
    </row>
    <row r="75" ht="18" customHeight="1">
      <c r="A75" s="22" t="n"/>
      <c r="B75" s="22" t="n"/>
      <c r="C75" s="22" t="n"/>
      <c r="D75" s="5" t="n"/>
      <c r="E75" s="24" t="n"/>
      <c r="F75" s="5" t="n"/>
      <c r="G75" s="5" t="n"/>
      <c r="H75" s="5" t="n"/>
      <c r="I75" s="8">
        <f>IF(B75="","",IFERROR(VLOOKUP(B75,Listas!$B$2:$C$13,2,0),1))</f>
        <v/>
      </c>
      <c r="J75" s="25">
        <f>IF(OR(A75="",B75=""),"",IF(B75="Activity",MAX(0,N(D75))*(MIN(100,MAX(0,N(E75)))/100)*(1+MAX(0,N(F75))+MAX(0,N(G75))),MAX(0,N(D75))*(MIN(100,MAX(0,N(E75)))/100)*I75))</f>
        <v/>
      </c>
      <c r="K75" s="25">
        <f>IF(OR(A75="",B75=""),"",MAX(0,N(D75))*(MIN(100,MAX(0,N(E75)))/100)*MAX(0,N(H75))*IFERROR(VLOOKUP(B75,Listas!$B$2:$D$13,3,0),0)*IF(B75="Activity",1+MAX(0,N(F75)),1))</f>
        <v/>
      </c>
    </row>
    <row r="76" ht="18" customHeight="1">
      <c r="A76" s="22" t="n"/>
      <c r="B76" s="22" t="n"/>
      <c r="C76" s="22" t="n"/>
      <c r="D76" s="5" t="n"/>
      <c r="E76" s="24" t="n"/>
      <c r="F76" s="5" t="n"/>
      <c r="G76" s="5" t="n"/>
      <c r="H76" s="5" t="n"/>
      <c r="I76" s="8">
        <f>IF(B76="","",IFERROR(VLOOKUP(B76,Listas!$B$2:$C$13,2,0),1))</f>
        <v/>
      </c>
      <c r="J76" s="25">
        <f>IF(OR(A76="",B76=""),"",IF(B76="Activity",MAX(0,N(D76))*(MIN(100,MAX(0,N(E76)))/100)*(1+MAX(0,N(F76))+MAX(0,N(G76))),MAX(0,N(D76))*(MIN(100,MAX(0,N(E76)))/100)*I76))</f>
        <v/>
      </c>
      <c r="K76" s="25">
        <f>IF(OR(A76="",B76=""),"",MAX(0,N(D76))*(MIN(100,MAX(0,N(E76)))/100)*MAX(0,N(H76))*IFERROR(VLOOKUP(B76,Listas!$B$2:$D$13,3,0),0)*IF(B76="Activity",1+MAX(0,N(F76)),1))</f>
        <v/>
      </c>
    </row>
    <row r="77" ht="18" customHeight="1">
      <c r="A77" s="22" t="n"/>
      <c r="B77" s="22" t="n"/>
      <c r="C77" s="22" t="n"/>
      <c r="D77" s="5" t="n"/>
      <c r="E77" s="24" t="n"/>
      <c r="F77" s="5" t="n"/>
      <c r="G77" s="5" t="n"/>
      <c r="H77" s="5" t="n"/>
      <c r="I77" s="8">
        <f>IF(B77="","",IFERROR(VLOOKUP(B77,Listas!$B$2:$C$13,2,0),1))</f>
        <v/>
      </c>
      <c r="J77" s="25">
        <f>IF(OR(A77="",B77=""),"",IF(B77="Activity",MAX(0,N(D77))*(MIN(100,MAX(0,N(E77)))/100)*(1+MAX(0,N(F77))+MAX(0,N(G77))),MAX(0,N(D77))*(MIN(100,MAX(0,N(E77)))/100)*I77))</f>
        <v/>
      </c>
      <c r="K77" s="25">
        <f>IF(OR(A77="",B77=""),"",MAX(0,N(D77))*(MIN(100,MAX(0,N(E77)))/100)*MAX(0,N(H77))*IFERROR(VLOOKUP(B77,Listas!$B$2:$D$13,3,0),0)*IF(B77="Activity",1+MAX(0,N(F77)),1))</f>
        <v/>
      </c>
    </row>
    <row r="78" ht="18" customHeight="1">
      <c r="A78" s="22" t="n"/>
      <c r="B78" s="22" t="n"/>
      <c r="C78" s="22" t="n"/>
      <c r="D78" s="5" t="n"/>
      <c r="E78" s="24" t="n"/>
      <c r="F78" s="5" t="n"/>
      <c r="G78" s="5" t="n"/>
      <c r="H78" s="5" t="n"/>
      <c r="I78" s="8">
        <f>IF(B78="","",IFERROR(VLOOKUP(B78,Listas!$B$2:$C$13,2,0),1))</f>
        <v/>
      </c>
      <c r="J78" s="25">
        <f>IF(OR(A78="",B78=""),"",IF(B78="Activity",MAX(0,N(D78))*(MIN(100,MAX(0,N(E78)))/100)*(1+MAX(0,N(F78))+MAX(0,N(G78))),MAX(0,N(D78))*(MIN(100,MAX(0,N(E78)))/100)*I78))</f>
        <v/>
      </c>
      <c r="K78" s="25">
        <f>IF(OR(A78="",B78=""),"",MAX(0,N(D78))*(MIN(100,MAX(0,N(E78)))/100)*MAX(0,N(H78))*IFERROR(VLOOKUP(B78,Listas!$B$2:$D$13,3,0),0)*IF(B78="Activity",1+MAX(0,N(F78)),1))</f>
        <v/>
      </c>
    </row>
    <row r="79" ht="18" customHeight="1">
      <c r="A79" s="22" t="n"/>
      <c r="B79" s="22" t="n"/>
      <c r="C79" s="22" t="n"/>
      <c r="D79" s="5" t="n"/>
      <c r="E79" s="24" t="n"/>
      <c r="F79" s="5" t="n"/>
      <c r="G79" s="5" t="n"/>
      <c r="H79" s="5" t="n"/>
      <c r="I79" s="8">
        <f>IF(B79="","",IFERROR(VLOOKUP(B79,Listas!$B$2:$C$13,2,0),1))</f>
        <v/>
      </c>
      <c r="J79" s="25">
        <f>IF(OR(A79="",B79=""),"",IF(B79="Activity",MAX(0,N(D79))*(MIN(100,MAX(0,N(E79)))/100)*(1+MAX(0,N(F79))+MAX(0,N(G79))),MAX(0,N(D79))*(MIN(100,MAX(0,N(E79)))/100)*I79))</f>
        <v/>
      </c>
      <c r="K79" s="25">
        <f>IF(OR(A79="",B79=""),"",MAX(0,N(D79))*(MIN(100,MAX(0,N(E79)))/100)*MAX(0,N(H79))*IFERROR(VLOOKUP(B79,Listas!$B$2:$D$13,3,0),0)*IF(B79="Activity",1+MAX(0,N(F79)),1))</f>
        <v/>
      </c>
    </row>
    <row r="80" ht="18" customHeight="1">
      <c r="A80" s="22" t="n"/>
      <c r="B80" s="22" t="n"/>
      <c r="C80" s="22" t="n"/>
      <c r="D80" s="5" t="n"/>
      <c r="E80" s="24" t="n"/>
      <c r="F80" s="5" t="n"/>
      <c r="G80" s="5" t="n"/>
      <c r="H80" s="5" t="n"/>
      <c r="I80" s="8">
        <f>IF(B80="","",IFERROR(VLOOKUP(B80,Listas!$B$2:$C$13,2,0),1))</f>
        <v/>
      </c>
      <c r="J80" s="25">
        <f>IF(OR(A80="",B80=""),"",IF(B80="Activity",MAX(0,N(D80))*(MIN(100,MAX(0,N(E80)))/100)*(1+MAX(0,N(F80))+MAX(0,N(G80))),MAX(0,N(D80))*(MIN(100,MAX(0,N(E80)))/100)*I80))</f>
        <v/>
      </c>
      <c r="K80" s="25">
        <f>IF(OR(A80="",B80=""),"",MAX(0,N(D80))*(MIN(100,MAX(0,N(E80)))/100)*MAX(0,N(H80))*IFERROR(VLOOKUP(B80,Listas!$B$2:$D$13,3,0),0)*IF(B80="Activity",1+MAX(0,N(F80)),1))</f>
        <v/>
      </c>
    </row>
    <row r="81" ht="18" customHeight="1">
      <c r="A81" s="22" t="n"/>
      <c r="B81" s="22" t="n"/>
      <c r="C81" s="22" t="n"/>
      <c r="D81" s="5" t="n"/>
      <c r="E81" s="24" t="n"/>
      <c r="F81" s="5" t="n"/>
      <c r="G81" s="5" t="n"/>
      <c r="H81" s="5" t="n"/>
      <c r="I81" s="8">
        <f>IF(B81="","",IFERROR(VLOOKUP(B81,Listas!$B$2:$C$13,2,0),1))</f>
        <v/>
      </c>
      <c r="J81" s="25">
        <f>IF(OR(A81="",B81=""),"",IF(B81="Activity",MAX(0,N(D81))*(MIN(100,MAX(0,N(E81)))/100)*(1+MAX(0,N(F81))+MAX(0,N(G81))),MAX(0,N(D81))*(MIN(100,MAX(0,N(E81)))/100)*I81))</f>
        <v/>
      </c>
      <c r="K81" s="25">
        <f>IF(OR(A81="",B81=""),"",MAX(0,N(D81))*(MIN(100,MAX(0,N(E81)))/100)*MAX(0,N(H81))*IFERROR(VLOOKUP(B81,Listas!$B$2:$D$13,3,0),0)*IF(B81="Activity",1+MAX(0,N(F81)),1))</f>
        <v/>
      </c>
    </row>
    <row r="82" ht="18" customHeight="1">
      <c r="A82" s="22" t="n"/>
      <c r="B82" s="22" t="n"/>
      <c r="C82" s="22" t="n"/>
      <c r="D82" s="5" t="n"/>
      <c r="E82" s="24" t="n"/>
      <c r="F82" s="5" t="n"/>
      <c r="G82" s="5" t="n"/>
      <c r="H82" s="5" t="n"/>
      <c r="I82" s="8">
        <f>IF(B82="","",IFERROR(VLOOKUP(B82,Listas!$B$2:$C$13,2,0),1))</f>
        <v/>
      </c>
      <c r="J82" s="25">
        <f>IF(OR(A82="",B82=""),"",IF(B82="Activity",MAX(0,N(D82))*(MIN(100,MAX(0,N(E82)))/100)*(1+MAX(0,N(F82))+MAX(0,N(G82))),MAX(0,N(D82))*(MIN(100,MAX(0,N(E82)))/100)*I82))</f>
        <v/>
      </c>
      <c r="K82" s="25">
        <f>IF(OR(A82="",B82=""),"",MAX(0,N(D82))*(MIN(100,MAX(0,N(E82)))/100)*MAX(0,N(H82))*IFERROR(VLOOKUP(B82,Listas!$B$2:$D$13,3,0),0)*IF(B82="Activity",1+MAX(0,N(F82)),1))</f>
        <v/>
      </c>
    </row>
    <row r="83" ht="18" customHeight="1">
      <c r="A83" s="22" t="n"/>
      <c r="B83" s="22" t="n"/>
      <c r="C83" s="22" t="n"/>
      <c r="D83" s="5" t="n"/>
      <c r="E83" s="24" t="n"/>
      <c r="F83" s="5" t="n"/>
      <c r="G83" s="5" t="n"/>
      <c r="H83" s="5" t="n"/>
      <c r="I83" s="8">
        <f>IF(B83="","",IFERROR(VLOOKUP(B83,Listas!$B$2:$C$13,2,0),1))</f>
        <v/>
      </c>
      <c r="J83" s="25">
        <f>IF(OR(A83="",B83=""),"",IF(B83="Activity",MAX(0,N(D83))*(MIN(100,MAX(0,N(E83)))/100)*(1+MAX(0,N(F83))+MAX(0,N(G83))),MAX(0,N(D83))*(MIN(100,MAX(0,N(E83)))/100)*I83))</f>
        <v/>
      </c>
      <c r="K83" s="25">
        <f>IF(OR(A83="",B83=""),"",MAX(0,N(D83))*(MIN(100,MAX(0,N(E83)))/100)*MAX(0,N(H83))*IFERROR(VLOOKUP(B83,Listas!$B$2:$D$13,3,0),0)*IF(B83="Activity",1+MAX(0,N(F83)),1))</f>
        <v/>
      </c>
    </row>
    <row r="84" ht="18" customHeight="1">
      <c r="A84" s="22" t="n"/>
      <c r="B84" s="22" t="n"/>
      <c r="C84" s="22" t="n"/>
      <c r="D84" s="5" t="n"/>
      <c r="E84" s="24" t="n"/>
      <c r="F84" s="5" t="n"/>
      <c r="G84" s="5" t="n"/>
      <c r="H84" s="5" t="n"/>
      <c r="I84" s="8">
        <f>IF(B84="","",IFERROR(VLOOKUP(B84,Listas!$B$2:$C$13,2,0),1))</f>
        <v/>
      </c>
      <c r="J84" s="25">
        <f>IF(OR(A84="",B84=""),"",IF(B84="Activity",MAX(0,N(D84))*(MIN(100,MAX(0,N(E84)))/100)*(1+MAX(0,N(F84))+MAX(0,N(G84))),MAX(0,N(D84))*(MIN(100,MAX(0,N(E84)))/100)*I84))</f>
        <v/>
      </c>
      <c r="K84" s="25">
        <f>IF(OR(A84="",B84=""),"",MAX(0,N(D84))*(MIN(100,MAX(0,N(E84)))/100)*MAX(0,N(H84))*IFERROR(VLOOKUP(B84,Listas!$B$2:$D$13,3,0),0)*IF(B84="Activity",1+MAX(0,N(F84)),1))</f>
        <v/>
      </c>
    </row>
    <row r="85" ht="18" customHeight="1">
      <c r="A85" s="22" t="n"/>
      <c r="B85" s="22" t="n"/>
      <c r="C85" s="22" t="n"/>
      <c r="D85" s="5" t="n"/>
      <c r="E85" s="24" t="n"/>
      <c r="F85" s="5" t="n"/>
      <c r="G85" s="5" t="n"/>
      <c r="H85" s="5" t="n"/>
      <c r="I85" s="8">
        <f>IF(B85="","",IFERROR(VLOOKUP(B85,Listas!$B$2:$C$13,2,0),1))</f>
        <v/>
      </c>
      <c r="J85" s="25">
        <f>IF(OR(A85="",B85=""),"",IF(B85="Activity",MAX(0,N(D85))*(MIN(100,MAX(0,N(E85)))/100)*(1+MAX(0,N(F85))+MAX(0,N(G85))),MAX(0,N(D85))*(MIN(100,MAX(0,N(E85)))/100)*I85))</f>
        <v/>
      </c>
      <c r="K85" s="25">
        <f>IF(OR(A85="",B85=""),"",MAX(0,N(D85))*(MIN(100,MAX(0,N(E85)))/100)*MAX(0,N(H85))*IFERROR(VLOOKUP(B85,Listas!$B$2:$D$13,3,0),0)*IF(B85="Activity",1+MAX(0,N(F85)),1))</f>
        <v/>
      </c>
    </row>
    <row r="86" ht="18" customHeight="1">
      <c r="A86" s="22" t="n"/>
      <c r="B86" s="22" t="n"/>
      <c r="C86" s="22" t="n"/>
      <c r="D86" s="5" t="n"/>
      <c r="E86" s="24" t="n"/>
      <c r="F86" s="5" t="n"/>
      <c r="G86" s="5" t="n"/>
      <c r="H86" s="5" t="n"/>
      <c r="I86" s="8">
        <f>IF(B86="","",IFERROR(VLOOKUP(B86,Listas!$B$2:$C$13,2,0),1))</f>
        <v/>
      </c>
      <c r="J86" s="25">
        <f>IF(OR(A86="",B86=""),"",IF(B86="Activity",MAX(0,N(D86))*(MIN(100,MAX(0,N(E86)))/100)*(1+MAX(0,N(F86))+MAX(0,N(G86))),MAX(0,N(D86))*(MIN(100,MAX(0,N(E86)))/100)*I86))</f>
        <v/>
      </c>
      <c r="K86" s="25">
        <f>IF(OR(A86="",B86=""),"",MAX(0,N(D86))*(MIN(100,MAX(0,N(E86)))/100)*MAX(0,N(H86))*IFERROR(VLOOKUP(B86,Listas!$B$2:$D$13,3,0),0)*IF(B86="Activity",1+MAX(0,N(F86)),1))</f>
        <v/>
      </c>
    </row>
    <row r="87" ht="18" customHeight="1">
      <c r="A87" s="22" t="n"/>
      <c r="B87" s="22" t="n"/>
      <c r="C87" s="22" t="n"/>
      <c r="D87" s="5" t="n"/>
      <c r="E87" s="24" t="n"/>
      <c r="F87" s="5" t="n"/>
      <c r="G87" s="5" t="n"/>
      <c r="H87" s="5" t="n"/>
      <c r="I87" s="8">
        <f>IF(B87="","",IFERROR(VLOOKUP(B87,Listas!$B$2:$C$13,2,0),1))</f>
        <v/>
      </c>
      <c r="J87" s="25">
        <f>IF(OR(A87="",B87=""),"",IF(B87="Activity",MAX(0,N(D87))*(MIN(100,MAX(0,N(E87)))/100)*(1+MAX(0,N(F87))+MAX(0,N(G87))),MAX(0,N(D87))*(MIN(100,MAX(0,N(E87)))/100)*I87))</f>
        <v/>
      </c>
      <c r="K87" s="25">
        <f>IF(OR(A87="",B87=""),"",MAX(0,N(D87))*(MIN(100,MAX(0,N(E87)))/100)*MAX(0,N(H87))*IFERROR(VLOOKUP(B87,Listas!$B$2:$D$13,3,0),0)*IF(B87="Activity",1+MAX(0,N(F87)),1))</f>
        <v/>
      </c>
    </row>
    <row r="88" ht="18" customHeight="1">
      <c r="A88" s="22" t="n"/>
      <c r="B88" s="22" t="n"/>
      <c r="C88" s="22" t="n"/>
      <c r="D88" s="5" t="n"/>
      <c r="E88" s="24" t="n"/>
      <c r="F88" s="5" t="n"/>
      <c r="G88" s="5" t="n"/>
      <c r="H88" s="5" t="n"/>
      <c r="I88" s="8">
        <f>IF(B88="","",IFERROR(VLOOKUP(B88,Listas!$B$2:$C$13,2,0),1))</f>
        <v/>
      </c>
      <c r="J88" s="25">
        <f>IF(OR(A88="",B88=""),"",IF(B88="Activity",MAX(0,N(D88))*(MIN(100,MAX(0,N(E88)))/100)*(1+MAX(0,N(F88))+MAX(0,N(G88))),MAX(0,N(D88))*(MIN(100,MAX(0,N(E88)))/100)*I88))</f>
        <v/>
      </c>
      <c r="K88" s="25">
        <f>IF(OR(A88="",B88=""),"",MAX(0,N(D88))*(MIN(100,MAX(0,N(E88)))/100)*MAX(0,N(H88))*IFERROR(VLOOKUP(B88,Listas!$B$2:$D$13,3,0),0)*IF(B88="Activity",1+MAX(0,N(F88)),1))</f>
        <v/>
      </c>
    </row>
    <row r="89" ht="18" customHeight="1">
      <c r="A89" s="22" t="n"/>
      <c r="B89" s="22" t="n"/>
      <c r="C89" s="22" t="n"/>
      <c r="D89" s="5" t="n"/>
      <c r="E89" s="24" t="n"/>
      <c r="F89" s="5" t="n"/>
      <c r="G89" s="5" t="n"/>
      <c r="H89" s="5" t="n"/>
      <c r="I89" s="8">
        <f>IF(B89="","",IFERROR(VLOOKUP(B89,Listas!$B$2:$C$13,2,0),1))</f>
        <v/>
      </c>
      <c r="J89" s="25">
        <f>IF(OR(A89="",B89=""),"",IF(B89="Activity",MAX(0,N(D89))*(MIN(100,MAX(0,N(E89)))/100)*(1+MAX(0,N(F89))+MAX(0,N(G89))),MAX(0,N(D89))*(MIN(100,MAX(0,N(E89)))/100)*I89))</f>
        <v/>
      </c>
      <c r="K89" s="25">
        <f>IF(OR(A89="",B89=""),"",MAX(0,N(D89))*(MIN(100,MAX(0,N(E89)))/100)*MAX(0,N(H89))*IFERROR(VLOOKUP(B89,Listas!$B$2:$D$13,3,0),0)*IF(B89="Activity",1+MAX(0,N(F89)),1))</f>
        <v/>
      </c>
    </row>
    <row r="90" ht="18" customHeight="1">
      <c r="A90" s="22" t="n"/>
      <c r="B90" s="22" t="n"/>
      <c r="C90" s="22" t="n"/>
      <c r="D90" s="5" t="n"/>
      <c r="E90" s="24" t="n"/>
      <c r="F90" s="5" t="n"/>
      <c r="G90" s="5" t="n"/>
      <c r="H90" s="5" t="n"/>
      <c r="I90" s="8">
        <f>IF(B90="","",IFERROR(VLOOKUP(B90,Listas!$B$2:$C$13,2,0),1))</f>
        <v/>
      </c>
      <c r="J90" s="25">
        <f>IF(OR(A90="",B90=""),"",IF(B90="Activity",MAX(0,N(D90))*(MIN(100,MAX(0,N(E90)))/100)*(1+MAX(0,N(F90))+MAX(0,N(G90))),MAX(0,N(D90))*(MIN(100,MAX(0,N(E90)))/100)*I90))</f>
        <v/>
      </c>
      <c r="K90" s="25">
        <f>IF(OR(A90="",B90=""),"",MAX(0,N(D90))*(MIN(100,MAX(0,N(E90)))/100)*MAX(0,N(H90))*IFERROR(VLOOKUP(B90,Listas!$B$2:$D$13,3,0),0)*IF(B90="Activity",1+MAX(0,N(F90)),1))</f>
        <v/>
      </c>
    </row>
    <row r="91" ht="18" customHeight="1">
      <c r="A91" s="22" t="n"/>
      <c r="B91" s="22" t="n"/>
      <c r="C91" s="22" t="n"/>
      <c r="D91" s="5" t="n"/>
      <c r="E91" s="24" t="n"/>
      <c r="F91" s="5" t="n"/>
      <c r="G91" s="5" t="n"/>
      <c r="H91" s="5" t="n"/>
      <c r="I91" s="8">
        <f>IF(B91="","",IFERROR(VLOOKUP(B91,Listas!$B$2:$C$13,2,0),1))</f>
        <v/>
      </c>
      <c r="J91" s="25">
        <f>IF(OR(A91="",B91=""),"",IF(B91="Activity",MAX(0,N(D91))*(MIN(100,MAX(0,N(E91)))/100)*(1+MAX(0,N(F91))+MAX(0,N(G91))),MAX(0,N(D91))*(MIN(100,MAX(0,N(E91)))/100)*I91))</f>
        <v/>
      </c>
      <c r="K91" s="25">
        <f>IF(OR(A91="",B91=""),"",MAX(0,N(D91))*(MIN(100,MAX(0,N(E91)))/100)*MAX(0,N(H91))*IFERROR(VLOOKUP(B91,Listas!$B$2:$D$13,3,0),0)*IF(B91="Activity",1+MAX(0,N(F91)),1))</f>
        <v/>
      </c>
    </row>
    <row r="92" ht="18" customHeight="1">
      <c r="A92" s="22" t="n"/>
      <c r="B92" s="22" t="n"/>
      <c r="C92" s="22" t="n"/>
      <c r="D92" s="5" t="n"/>
      <c r="E92" s="24" t="n"/>
      <c r="F92" s="5" t="n"/>
      <c r="G92" s="5" t="n"/>
      <c r="H92" s="5" t="n"/>
      <c r="I92" s="8">
        <f>IF(B92="","",IFERROR(VLOOKUP(B92,Listas!$B$2:$C$13,2,0),1))</f>
        <v/>
      </c>
      <c r="J92" s="25">
        <f>IF(OR(A92="",B92=""),"",IF(B92="Activity",MAX(0,N(D92))*(MIN(100,MAX(0,N(E92)))/100)*(1+MAX(0,N(F92))+MAX(0,N(G92))),MAX(0,N(D92))*(MIN(100,MAX(0,N(E92)))/100)*I92))</f>
        <v/>
      </c>
      <c r="K92" s="25">
        <f>IF(OR(A92="",B92=""),"",MAX(0,N(D92))*(MIN(100,MAX(0,N(E92)))/100)*MAX(0,N(H92))*IFERROR(VLOOKUP(B92,Listas!$B$2:$D$13,3,0),0)*IF(B92="Activity",1+MAX(0,N(F92)),1))</f>
        <v/>
      </c>
    </row>
    <row r="93" ht="18" customHeight="1">
      <c r="A93" s="22" t="n"/>
      <c r="B93" s="22" t="n"/>
      <c r="C93" s="22" t="n"/>
      <c r="D93" s="5" t="n"/>
      <c r="E93" s="24" t="n"/>
      <c r="F93" s="5" t="n"/>
      <c r="G93" s="5" t="n"/>
      <c r="H93" s="5" t="n"/>
      <c r="I93" s="8">
        <f>IF(B93="","",IFERROR(VLOOKUP(B93,Listas!$B$2:$C$13,2,0),1))</f>
        <v/>
      </c>
      <c r="J93" s="25">
        <f>IF(OR(A93="",B93=""),"",IF(B93="Activity",MAX(0,N(D93))*(MIN(100,MAX(0,N(E93)))/100)*(1+MAX(0,N(F93))+MAX(0,N(G93))),MAX(0,N(D93))*(MIN(100,MAX(0,N(E93)))/100)*I93))</f>
        <v/>
      </c>
      <c r="K93" s="25">
        <f>IF(OR(A93="",B93=""),"",MAX(0,N(D93))*(MIN(100,MAX(0,N(E93)))/100)*MAX(0,N(H93))*IFERROR(VLOOKUP(B93,Listas!$B$2:$D$13,3,0),0)*IF(B93="Activity",1+MAX(0,N(F93)),1))</f>
        <v/>
      </c>
    </row>
    <row r="94" ht="18" customHeight="1">
      <c r="A94" s="22" t="n"/>
      <c r="B94" s="22" t="n"/>
      <c r="C94" s="22" t="n"/>
      <c r="D94" s="5" t="n"/>
      <c r="E94" s="24" t="n"/>
      <c r="F94" s="5" t="n"/>
      <c r="G94" s="5" t="n"/>
      <c r="H94" s="5" t="n"/>
      <c r="I94" s="8">
        <f>IF(B94="","",IFERROR(VLOOKUP(B94,Listas!$B$2:$C$13,2,0),1))</f>
        <v/>
      </c>
      <c r="J94" s="25">
        <f>IF(OR(A94="",B94=""),"",IF(B94="Activity",MAX(0,N(D94))*(MIN(100,MAX(0,N(E94)))/100)*(1+MAX(0,N(F94))+MAX(0,N(G94))),MAX(0,N(D94))*(MIN(100,MAX(0,N(E94)))/100)*I94))</f>
        <v/>
      </c>
      <c r="K94" s="25">
        <f>IF(OR(A94="",B94=""),"",MAX(0,N(D94))*(MIN(100,MAX(0,N(E94)))/100)*MAX(0,N(H94))*IFERROR(VLOOKUP(B94,Listas!$B$2:$D$13,3,0),0)*IF(B94="Activity",1+MAX(0,N(F94)),1))</f>
        <v/>
      </c>
    </row>
    <row r="95" ht="18" customHeight="1">
      <c r="A95" s="22" t="n"/>
      <c r="B95" s="22" t="n"/>
      <c r="C95" s="22" t="n"/>
      <c r="D95" s="5" t="n"/>
      <c r="E95" s="24" t="n"/>
      <c r="F95" s="5" t="n"/>
      <c r="G95" s="5" t="n"/>
      <c r="H95" s="5" t="n"/>
      <c r="I95" s="8">
        <f>IF(B95="","",IFERROR(VLOOKUP(B95,Listas!$B$2:$C$13,2,0),1))</f>
        <v/>
      </c>
      <c r="J95" s="25">
        <f>IF(OR(A95="",B95=""),"",IF(B95="Activity",MAX(0,N(D95))*(MIN(100,MAX(0,N(E95)))/100)*(1+MAX(0,N(F95))+MAX(0,N(G95))),MAX(0,N(D95))*(MIN(100,MAX(0,N(E95)))/100)*I95))</f>
        <v/>
      </c>
      <c r="K95" s="25">
        <f>IF(OR(A95="",B95=""),"",MAX(0,N(D95))*(MIN(100,MAX(0,N(E95)))/100)*MAX(0,N(H95))*IFERROR(VLOOKUP(B95,Listas!$B$2:$D$13,3,0),0)*IF(B95="Activity",1+MAX(0,N(F95)),1))</f>
        <v/>
      </c>
    </row>
    <row r="96" ht="18" customHeight="1">
      <c r="A96" s="22" t="n"/>
      <c r="B96" s="22" t="n"/>
      <c r="C96" s="22" t="n"/>
      <c r="D96" s="5" t="n"/>
      <c r="E96" s="24" t="n"/>
      <c r="F96" s="5" t="n"/>
      <c r="G96" s="5" t="n"/>
      <c r="H96" s="5" t="n"/>
      <c r="I96" s="8">
        <f>IF(B96="","",IFERROR(VLOOKUP(B96,Listas!$B$2:$C$13,2,0),1))</f>
        <v/>
      </c>
      <c r="J96" s="25">
        <f>IF(OR(A96="",B96=""),"",IF(B96="Activity",MAX(0,N(D96))*(MIN(100,MAX(0,N(E96)))/100)*(1+MAX(0,N(F96))+MAX(0,N(G96))),MAX(0,N(D96))*(MIN(100,MAX(0,N(E96)))/100)*I96))</f>
        <v/>
      </c>
      <c r="K96" s="25">
        <f>IF(OR(A96="",B96=""),"",MAX(0,N(D96))*(MIN(100,MAX(0,N(E96)))/100)*MAX(0,N(H96))*IFERROR(VLOOKUP(B96,Listas!$B$2:$D$13,3,0),0)*IF(B96="Activity",1+MAX(0,N(F96)),1))</f>
        <v/>
      </c>
    </row>
    <row r="97" ht="18" customHeight="1">
      <c r="A97" s="22" t="n"/>
      <c r="B97" s="22" t="n"/>
      <c r="C97" s="22" t="n"/>
      <c r="D97" s="5" t="n"/>
      <c r="E97" s="24" t="n"/>
      <c r="F97" s="5" t="n"/>
      <c r="G97" s="5" t="n"/>
      <c r="H97" s="5" t="n"/>
      <c r="I97" s="8">
        <f>IF(B97="","",IFERROR(VLOOKUP(B97,Listas!$B$2:$C$13,2,0),1))</f>
        <v/>
      </c>
      <c r="J97" s="25">
        <f>IF(OR(A97="",B97=""),"",IF(B97="Activity",MAX(0,N(D97))*(MIN(100,MAX(0,N(E97)))/100)*(1+MAX(0,N(F97))+MAX(0,N(G97))),MAX(0,N(D97))*(MIN(100,MAX(0,N(E97)))/100)*I97))</f>
        <v/>
      </c>
      <c r="K97" s="25">
        <f>IF(OR(A97="",B97=""),"",MAX(0,N(D97))*(MIN(100,MAX(0,N(E97)))/100)*MAX(0,N(H97))*IFERROR(VLOOKUP(B97,Listas!$B$2:$D$13,3,0),0)*IF(B97="Activity",1+MAX(0,N(F97)),1))</f>
        <v/>
      </c>
    </row>
    <row r="98" ht="18" customHeight="1">
      <c r="A98" s="22" t="n"/>
      <c r="B98" s="22" t="n"/>
      <c r="C98" s="22" t="n"/>
      <c r="D98" s="5" t="n"/>
      <c r="E98" s="24" t="n"/>
      <c r="F98" s="5" t="n"/>
      <c r="G98" s="5" t="n"/>
      <c r="H98" s="5" t="n"/>
      <c r="I98" s="8">
        <f>IF(B98="","",IFERROR(VLOOKUP(B98,Listas!$B$2:$C$13,2,0),1))</f>
        <v/>
      </c>
      <c r="J98" s="25">
        <f>IF(OR(A98="",B98=""),"",IF(B98="Activity",MAX(0,N(D98))*(MIN(100,MAX(0,N(E98)))/100)*(1+MAX(0,N(F98))+MAX(0,N(G98))),MAX(0,N(D98))*(MIN(100,MAX(0,N(E98)))/100)*I98))</f>
        <v/>
      </c>
      <c r="K98" s="25">
        <f>IF(OR(A98="",B98=""),"",MAX(0,N(D98))*(MIN(100,MAX(0,N(E98)))/100)*MAX(0,N(H98))*IFERROR(VLOOKUP(B98,Listas!$B$2:$D$13,3,0),0)*IF(B98="Activity",1+MAX(0,N(F98)),1))</f>
        <v/>
      </c>
    </row>
    <row r="99" ht="18" customHeight="1">
      <c r="A99" s="22" t="n"/>
      <c r="B99" s="22" t="n"/>
      <c r="C99" s="22" t="n"/>
      <c r="D99" s="5" t="n"/>
      <c r="E99" s="24" t="n"/>
      <c r="F99" s="5" t="n"/>
      <c r="G99" s="5" t="n"/>
      <c r="H99" s="5" t="n"/>
      <c r="I99" s="8">
        <f>IF(B99="","",IFERROR(VLOOKUP(B99,Listas!$B$2:$C$13,2,0),1))</f>
        <v/>
      </c>
      <c r="J99" s="25">
        <f>IF(OR(A99="",B99=""),"",IF(B99="Activity",MAX(0,N(D99))*(MIN(100,MAX(0,N(E99)))/100)*(1+MAX(0,N(F99))+MAX(0,N(G99))),MAX(0,N(D99))*(MIN(100,MAX(0,N(E99)))/100)*I99))</f>
        <v/>
      </c>
      <c r="K99" s="25">
        <f>IF(OR(A99="",B99=""),"",MAX(0,N(D99))*(MIN(100,MAX(0,N(E99)))/100)*MAX(0,N(H99))*IFERROR(VLOOKUP(B99,Listas!$B$2:$D$13,3,0),0)*IF(B99="Activity",1+MAX(0,N(F99)),1))</f>
        <v/>
      </c>
    </row>
    <row r="100" ht="18" customHeight="1">
      <c r="A100" s="22" t="n"/>
      <c r="B100" s="22" t="n"/>
      <c r="C100" s="22" t="n"/>
      <c r="D100" s="5" t="n"/>
      <c r="E100" s="24" t="n"/>
      <c r="F100" s="5" t="n"/>
      <c r="G100" s="5" t="n"/>
      <c r="H100" s="5" t="n"/>
      <c r="I100" s="8">
        <f>IF(B100="","",IFERROR(VLOOKUP(B100,Listas!$B$2:$C$13,2,0),1))</f>
        <v/>
      </c>
      <c r="J100" s="25">
        <f>IF(OR(A100="",B100=""),"",IF(B100="Activity",MAX(0,N(D100))*(MIN(100,MAX(0,N(E100)))/100)*(1+MAX(0,N(F100))+MAX(0,N(G100))),MAX(0,N(D100))*(MIN(100,MAX(0,N(E100)))/100)*I100))</f>
        <v/>
      </c>
      <c r="K100" s="25">
        <f>IF(OR(A100="",B100=""),"",MAX(0,N(D100))*(MIN(100,MAX(0,N(E100)))/100)*MAX(0,N(H100))*IFERROR(VLOOKUP(B100,Listas!$B$2:$D$13,3,0),0)*IF(B100="Activity",1+MAX(0,N(F100)),1))</f>
        <v/>
      </c>
    </row>
    <row r="101" ht="18" customHeight="1">
      <c r="A101" s="22" t="n"/>
      <c r="B101" s="22" t="n"/>
      <c r="C101" s="22" t="n"/>
      <c r="D101" s="5" t="n"/>
      <c r="E101" s="24" t="n"/>
      <c r="F101" s="5" t="n"/>
      <c r="G101" s="5" t="n"/>
      <c r="H101" s="5" t="n"/>
      <c r="I101" s="8">
        <f>IF(B101="","",IFERROR(VLOOKUP(B101,Listas!$B$2:$C$13,2,0),1))</f>
        <v/>
      </c>
      <c r="J101" s="25">
        <f>IF(OR(A101="",B101=""),"",IF(B101="Activity",MAX(0,N(D101))*(MIN(100,MAX(0,N(E101)))/100)*(1+MAX(0,N(F101))+MAX(0,N(G101))),MAX(0,N(D101))*(MIN(100,MAX(0,N(E101)))/100)*I101))</f>
        <v/>
      </c>
      <c r="K101" s="25">
        <f>IF(OR(A101="",B101=""),"",MAX(0,N(D101))*(MIN(100,MAX(0,N(E101)))/100)*MAX(0,N(H101))*IFERROR(VLOOKUP(B101,Listas!$B$2:$D$13,3,0),0)*IF(B101="Activity",1+MAX(0,N(F101)),1))</f>
        <v/>
      </c>
    </row>
    <row r="102" ht="18" customHeight="1">
      <c r="A102" s="22" t="n"/>
      <c r="B102" s="22" t="n"/>
      <c r="C102" s="22" t="n"/>
      <c r="D102" s="5" t="n"/>
      <c r="E102" s="24" t="n"/>
      <c r="F102" s="5" t="n"/>
      <c r="G102" s="5" t="n"/>
      <c r="H102" s="5" t="n"/>
      <c r="I102" s="8">
        <f>IF(B102="","",IFERROR(VLOOKUP(B102,Listas!$B$2:$C$13,2,0),1))</f>
        <v/>
      </c>
      <c r="J102" s="25">
        <f>IF(OR(A102="",B102=""),"",IF(B102="Activity",MAX(0,N(D102))*(MIN(100,MAX(0,N(E102)))/100)*(1+MAX(0,N(F102))+MAX(0,N(G102))),MAX(0,N(D102))*(MIN(100,MAX(0,N(E102)))/100)*I102))</f>
        <v/>
      </c>
      <c r="K102" s="25">
        <f>IF(OR(A102="",B102=""),"",MAX(0,N(D102))*(MIN(100,MAX(0,N(E102)))/100)*MAX(0,N(H102))*IFERROR(VLOOKUP(B102,Listas!$B$2:$D$13,3,0),0)*IF(B102="Activity",1+MAX(0,N(F102)),1))</f>
        <v/>
      </c>
    </row>
    <row r="103" ht="18" customHeight="1">
      <c r="A103" s="22" t="n"/>
      <c r="B103" s="22" t="n"/>
      <c r="C103" s="22" t="n"/>
      <c r="D103" s="5" t="n"/>
      <c r="E103" s="24" t="n"/>
      <c r="F103" s="5" t="n"/>
      <c r="G103" s="5" t="n"/>
      <c r="H103" s="5" t="n"/>
      <c r="I103" s="8">
        <f>IF(B103="","",IFERROR(VLOOKUP(B103,Listas!$B$2:$C$13,2,0),1))</f>
        <v/>
      </c>
      <c r="J103" s="25">
        <f>IF(OR(A103="",B103=""),"",IF(B103="Activity",MAX(0,N(D103))*(MIN(100,MAX(0,N(E103)))/100)*(1+MAX(0,N(F103))+MAX(0,N(G103))),MAX(0,N(D103))*(MIN(100,MAX(0,N(E103)))/100)*I103))</f>
        <v/>
      </c>
      <c r="K103" s="25">
        <f>IF(OR(A103="",B103=""),"",MAX(0,N(D103))*(MIN(100,MAX(0,N(E103)))/100)*MAX(0,N(H103))*IFERROR(VLOOKUP(B103,Listas!$B$2:$D$13,3,0),0)*IF(B103="Activity",1+MAX(0,N(F103)),1))</f>
        <v/>
      </c>
    </row>
    <row r="104" ht="18" customHeight="1">
      <c r="A104" s="22" t="n"/>
      <c r="B104" s="22" t="n"/>
      <c r="C104" s="22" t="n"/>
      <c r="D104" s="5" t="n"/>
      <c r="E104" s="24" t="n"/>
      <c r="F104" s="5" t="n"/>
      <c r="G104" s="5" t="n"/>
      <c r="H104" s="5" t="n"/>
      <c r="I104" s="8">
        <f>IF(B104="","",IFERROR(VLOOKUP(B104,Listas!$B$2:$C$13,2,0),1))</f>
        <v/>
      </c>
      <c r="J104" s="25">
        <f>IF(OR(A104="",B104=""),"",IF(B104="Activity",MAX(0,N(D104))*(MIN(100,MAX(0,N(E104)))/100)*(1+MAX(0,N(F104))+MAX(0,N(G104))),MAX(0,N(D104))*(MIN(100,MAX(0,N(E104)))/100)*I104))</f>
        <v/>
      </c>
      <c r="K104" s="25">
        <f>IF(OR(A104="",B104=""),"",MAX(0,N(D104))*(MIN(100,MAX(0,N(E104)))/100)*MAX(0,N(H104))*IFERROR(VLOOKUP(B104,Listas!$B$2:$D$13,3,0),0)*IF(B104="Activity",1+MAX(0,N(F104)),1))</f>
        <v/>
      </c>
    </row>
    <row r="105" ht="18" customHeight="1">
      <c r="A105" s="22" t="n"/>
      <c r="B105" s="22" t="n"/>
      <c r="C105" s="22" t="n"/>
      <c r="D105" s="5" t="n"/>
      <c r="E105" s="24" t="n"/>
      <c r="F105" s="5" t="n"/>
      <c r="G105" s="5" t="n"/>
      <c r="H105" s="5" t="n"/>
      <c r="I105" s="8">
        <f>IF(B105="","",IFERROR(VLOOKUP(B105,Listas!$B$2:$C$13,2,0),1))</f>
        <v/>
      </c>
      <c r="J105" s="25">
        <f>IF(OR(A105="",B105=""),"",IF(B105="Activity",MAX(0,N(D105))*(MIN(100,MAX(0,N(E105)))/100)*(1+MAX(0,N(F105))+MAX(0,N(G105))),MAX(0,N(D105))*(MIN(100,MAX(0,N(E105)))/100)*I105))</f>
        <v/>
      </c>
      <c r="K105" s="25">
        <f>IF(OR(A105="",B105=""),"",MAX(0,N(D105))*(MIN(100,MAX(0,N(E105)))/100)*MAX(0,N(H105))*IFERROR(VLOOKUP(B105,Listas!$B$2:$D$13,3,0),0)*IF(B105="Activity",1+MAX(0,N(F105)),1))</f>
        <v/>
      </c>
    </row>
    <row r="106" ht="18" customHeight="1">
      <c r="A106" s="22" t="n"/>
      <c r="B106" s="22" t="n"/>
      <c r="C106" s="22" t="n"/>
      <c r="D106" s="5" t="n"/>
      <c r="E106" s="24" t="n"/>
      <c r="F106" s="5" t="n"/>
      <c r="G106" s="5" t="n"/>
      <c r="H106" s="5" t="n"/>
      <c r="I106" s="8">
        <f>IF(B106="","",IFERROR(VLOOKUP(B106,Listas!$B$2:$C$13,2,0),1))</f>
        <v/>
      </c>
      <c r="J106" s="25">
        <f>IF(OR(A106="",B106=""),"",IF(B106="Activity",MAX(0,N(D106))*(MIN(100,MAX(0,N(E106)))/100)*(1+MAX(0,N(F106))+MAX(0,N(G106))),MAX(0,N(D106))*(MIN(100,MAX(0,N(E106)))/100)*I106))</f>
        <v/>
      </c>
      <c r="K106" s="25">
        <f>IF(OR(A106="",B106=""),"",MAX(0,N(D106))*(MIN(100,MAX(0,N(E106)))/100)*MAX(0,N(H106))*IFERROR(VLOOKUP(B106,Listas!$B$2:$D$13,3,0),0)*IF(B106="Activity",1+MAX(0,N(F106)),1))</f>
        <v/>
      </c>
    </row>
    <row r="107" ht="18" customHeight="1">
      <c r="A107" s="22" t="n"/>
      <c r="B107" s="22" t="n"/>
      <c r="C107" s="22" t="n"/>
      <c r="D107" s="5" t="n"/>
      <c r="E107" s="24" t="n"/>
      <c r="F107" s="5" t="n"/>
      <c r="G107" s="5" t="n"/>
      <c r="H107" s="5" t="n"/>
      <c r="I107" s="8">
        <f>IF(B107="","",IFERROR(VLOOKUP(B107,Listas!$B$2:$C$13,2,0),1))</f>
        <v/>
      </c>
      <c r="J107" s="25">
        <f>IF(OR(A107="",B107=""),"",IF(B107="Activity",MAX(0,N(D107))*(MIN(100,MAX(0,N(E107)))/100)*(1+MAX(0,N(F107))+MAX(0,N(G107))),MAX(0,N(D107))*(MIN(100,MAX(0,N(E107)))/100)*I107))</f>
        <v/>
      </c>
      <c r="K107" s="25">
        <f>IF(OR(A107="",B107=""),"",MAX(0,N(D107))*(MIN(100,MAX(0,N(E107)))/100)*MAX(0,N(H107))*IFERROR(VLOOKUP(B107,Listas!$B$2:$D$13,3,0),0)*IF(B107="Activity",1+MAX(0,N(F107)),1))</f>
        <v/>
      </c>
    </row>
    <row r="108" ht="18" customHeight="1">
      <c r="A108" s="22" t="n"/>
      <c r="B108" s="22" t="n"/>
      <c r="C108" s="22" t="n"/>
      <c r="D108" s="5" t="n"/>
      <c r="E108" s="24" t="n"/>
      <c r="F108" s="5" t="n"/>
      <c r="G108" s="5" t="n"/>
      <c r="H108" s="5" t="n"/>
      <c r="I108" s="8">
        <f>IF(B108="","",IFERROR(VLOOKUP(B108,Listas!$B$2:$C$13,2,0),1))</f>
        <v/>
      </c>
      <c r="J108" s="25">
        <f>IF(OR(A108="",B108=""),"",IF(B108="Activity",MAX(0,N(D108))*(MIN(100,MAX(0,N(E108)))/100)*(1+MAX(0,N(F108))+MAX(0,N(G108))),MAX(0,N(D108))*(MIN(100,MAX(0,N(E108)))/100)*I108))</f>
        <v/>
      </c>
      <c r="K108" s="25">
        <f>IF(OR(A108="",B108=""),"",MAX(0,N(D108))*(MIN(100,MAX(0,N(E108)))/100)*MAX(0,N(H108))*IFERROR(VLOOKUP(B108,Listas!$B$2:$D$13,3,0),0)*IF(B108="Activity",1+MAX(0,N(F108)),1))</f>
        <v/>
      </c>
    </row>
    <row r="109" ht="18" customHeight="1">
      <c r="A109" s="22" t="n"/>
      <c r="B109" s="22" t="n"/>
      <c r="C109" s="22" t="n"/>
      <c r="D109" s="5" t="n"/>
      <c r="E109" s="24" t="n"/>
      <c r="F109" s="5" t="n"/>
      <c r="G109" s="5" t="n"/>
      <c r="H109" s="5" t="n"/>
      <c r="I109" s="8">
        <f>IF(B109="","",IFERROR(VLOOKUP(B109,Listas!$B$2:$C$13,2,0),1))</f>
        <v/>
      </c>
      <c r="J109" s="25">
        <f>IF(OR(A109="",B109=""),"",IF(B109="Activity",MAX(0,N(D109))*(MIN(100,MAX(0,N(E109)))/100)*(1+MAX(0,N(F109))+MAX(0,N(G109))),MAX(0,N(D109))*(MIN(100,MAX(0,N(E109)))/100)*I109))</f>
        <v/>
      </c>
      <c r="K109" s="25">
        <f>IF(OR(A109="",B109=""),"",MAX(0,N(D109))*(MIN(100,MAX(0,N(E109)))/100)*MAX(0,N(H109))*IFERROR(VLOOKUP(B109,Listas!$B$2:$D$13,3,0),0)*IF(B109="Activity",1+MAX(0,N(F109)),1))</f>
        <v/>
      </c>
    </row>
    <row r="110" ht="18" customHeight="1">
      <c r="A110" s="22" t="n"/>
      <c r="B110" s="22" t="n"/>
      <c r="C110" s="22" t="n"/>
      <c r="D110" s="5" t="n"/>
      <c r="E110" s="24" t="n"/>
      <c r="F110" s="5" t="n"/>
      <c r="G110" s="5" t="n"/>
      <c r="H110" s="5" t="n"/>
      <c r="I110" s="8">
        <f>IF(B110="","",IFERROR(VLOOKUP(B110,Listas!$B$2:$C$13,2,0),1))</f>
        <v/>
      </c>
      <c r="J110" s="25">
        <f>IF(OR(A110="",B110=""),"",IF(B110="Activity",MAX(0,N(D110))*(MIN(100,MAX(0,N(E110)))/100)*(1+MAX(0,N(F110))+MAX(0,N(G110))),MAX(0,N(D110))*(MIN(100,MAX(0,N(E110)))/100)*I110))</f>
        <v/>
      </c>
      <c r="K110" s="25">
        <f>IF(OR(A110="",B110=""),"",MAX(0,N(D110))*(MIN(100,MAX(0,N(E110)))/100)*MAX(0,N(H110))*IFERROR(VLOOKUP(B110,Listas!$B$2:$D$13,3,0),0)*IF(B110="Activity",1+MAX(0,N(F110)),1))</f>
        <v/>
      </c>
    </row>
    <row r="111" ht="18" customHeight="1">
      <c r="A111" s="22" t="n"/>
      <c r="B111" s="22" t="n"/>
      <c r="C111" s="22" t="n"/>
      <c r="D111" s="5" t="n"/>
      <c r="E111" s="24" t="n"/>
      <c r="F111" s="5" t="n"/>
      <c r="G111" s="5" t="n"/>
      <c r="H111" s="5" t="n"/>
      <c r="I111" s="8">
        <f>IF(B111="","",IFERROR(VLOOKUP(B111,Listas!$B$2:$C$13,2,0),1))</f>
        <v/>
      </c>
      <c r="J111" s="25">
        <f>IF(OR(A111="",B111=""),"",IF(B111="Activity",MAX(0,N(D111))*(MIN(100,MAX(0,N(E111)))/100)*(1+MAX(0,N(F111))+MAX(0,N(G111))),MAX(0,N(D111))*(MIN(100,MAX(0,N(E111)))/100)*I111))</f>
        <v/>
      </c>
      <c r="K111" s="25">
        <f>IF(OR(A111="",B111=""),"",MAX(0,N(D111))*(MIN(100,MAX(0,N(E111)))/100)*MAX(0,N(H111))*IFERROR(VLOOKUP(B111,Listas!$B$2:$D$13,3,0),0)*IF(B111="Activity",1+MAX(0,N(F111)),1))</f>
        <v/>
      </c>
    </row>
    <row r="112" ht="18" customHeight="1">
      <c r="A112" s="22" t="n"/>
      <c r="B112" s="22" t="n"/>
      <c r="C112" s="22" t="n"/>
      <c r="D112" s="5" t="n"/>
      <c r="E112" s="24" t="n"/>
      <c r="F112" s="5" t="n"/>
      <c r="G112" s="5" t="n"/>
      <c r="H112" s="5" t="n"/>
      <c r="I112" s="8">
        <f>IF(B112="","",IFERROR(VLOOKUP(B112,Listas!$B$2:$C$13,2,0),1))</f>
        <v/>
      </c>
      <c r="J112" s="25">
        <f>IF(OR(A112="",B112=""),"",IF(B112="Activity",MAX(0,N(D112))*(MIN(100,MAX(0,N(E112)))/100)*(1+MAX(0,N(F112))+MAX(0,N(G112))),MAX(0,N(D112))*(MIN(100,MAX(0,N(E112)))/100)*I112))</f>
        <v/>
      </c>
      <c r="K112" s="25">
        <f>IF(OR(A112="",B112=""),"",MAX(0,N(D112))*(MIN(100,MAX(0,N(E112)))/100)*MAX(0,N(H112))*IFERROR(VLOOKUP(B112,Listas!$B$2:$D$13,3,0),0)*IF(B112="Activity",1+MAX(0,N(F112)),1))</f>
        <v/>
      </c>
    </row>
    <row r="113" ht="18" customHeight="1">
      <c r="A113" s="22" t="n"/>
      <c r="B113" s="22" t="n"/>
      <c r="C113" s="22" t="n"/>
      <c r="D113" s="5" t="n"/>
      <c r="E113" s="24" t="n"/>
      <c r="F113" s="5" t="n"/>
      <c r="G113" s="5" t="n"/>
      <c r="H113" s="5" t="n"/>
      <c r="I113" s="8">
        <f>IF(B113="","",IFERROR(VLOOKUP(B113,Listas!$B$2:$C$13,2,0),1))</f>
        <v/>
      </c>
      <c r="J113" s="25">
        <f>IF(OR(A113="",B113=""),"",IF(B113="Activity",MAX(0,N(D113))*(MIN(100,MAX(0,N(E113)))/100)*(1+MAX(0,N(F113))+MAX(0,N(G113))),MAX(0,N(D113))*(MIN(100,MAX(0,N(E113)))/100)*I113))</f>
        <v/>
      </c>
      <c r="K113" s="25">
        <f>IF(OR(A113="",B113=""),"",MAX(0,N(D113))*(MIN(100,MAX(0,N(E113)))/100)*MAX(0,N(H113))*IFERROR(VLOOKUP(B113,Listas!$B$2:$D$13,3,0),0)*IF(B113="Activity",1+MAX(0,N(F113)),1))</f>
        <v/>
      </c>
    </row>
    <row r="114" ht="18" customHeight="1">
      <c r="A114" s="22" t="n"/>
      <c r="B114" s="22" t="n"/>
      <c r="C114" s="22" t="n"/>
      <c r="D114" s="5" t="n"/>
      <c r="E114" s="24" t="n"/>
      <c r="F114" s="5" t="n"/>
      <c r="G114" s="5" t="n"/>
      <c r="H114" s="5" t="n"/>
      <c r="I114" s="8">
        <f>IF(B114="","",IFERROR(VLOOKUP(B114,Listas!$B$2:$C$13,2,0),1))</f>
        <v/>
      </c>
      <c r="J114" s="25">
        <f>IF(OR(A114="",B114=""),"",IF(B114="Activity",MAX(0,N(D114))*(MIN(100,MAX(0,N(E114)))/100)*(1+MAX(0,N(F114))+MAX(0,N(G114))),MAX(0,N(D114))*(MIN(100,MAX(0,N(E114)))/100)*I114))</f>
        <v/>
      </c>
      <c r="K114" s="25">
        <f>IF(OR(A114="",B114=""),"",MAX(0,N(D114))*(MIN(100,MAX(0,N(E114)))/100)*MAX(0,N(H114))*IFERROR(VLOOKUP(B114,Listas!$B$2:$D$13,3,0),0)*IF(B114="Activity",1+MAX(0,N(F114)),1))</f>
        <v/>
      </c>
    </row>
    <row r="115" ht="18" customHeight="1">
      <c r="A115" s="22" t="n"/>
      <c r="B115" s="22" t="n"/>
      <c r="C115" s="22" t="n"/>
      <c r="D115" s="5" t="n"/>
      <c r="E115" s="24" t="n"/>
      <c r="F115" s="5" t="n"/>
      <c r="G115" s="5" t="n"/>
      <c r="H115" s="5" t="n"/>
      <c r="I115" s="8">
        <f>IF(B115="","",IFERROR(VLOOKUP(B115,Listas!$B$2:$C$13,2,0),1))</f>
        <v/>
      </c>
      <c r="J115" s="25">
        <f>IF(OR(A115="",B115=""),"",IF(B115="Activity",MAX(0,N(D115))*(MIN(100,MAX(0,N(E115)))/100)*(1+MAX(0,N(F115))+MAX(0,N(G115))),MAX(0,N(D115))*(MIN(100,MAX(0,N(E115)))/100)*I115))</f>
        <v/>
      </c>
      <c r="K115" s="25">
        <f>IF(OR(A115="",B115=""),"",MAX(0,N(D115))*(MIN(100,MAX(0,N(E115)))/100)*MAX(0,N(H115))*IFERROR(VLOOKUP(B115,Listas!$B$2:$D$13,3,0),0)*IF(B115="Activity",1+MAX(0,N(F115)),1))</f>
        <v/>
      </c>
    </row>
    <row r="116" ht="18" customHeight="1">
      <c r="A116" s="22" t="n"/>
      <c r="B116" s="22" t="n"/>
      <c r="C116" s="22" t="n"/>
      <c r="D116" s="5" t="n"/>
      <c r="E116" s="24" t="n"/>
      <c r="F116" s="5" t="n"/>
      <c r="G116" s="5" t="n"/>
      <c r="H116" s="5" t="n"/>
      <c r="I116" s="8">
        <f>IF(B116="","",IFERROR(VLOOKUP(B116,Listas!$B$2:$C$13,2,0),1))</f>
        <v/>
      </c>
      <c r="J116" s="25">
        <f>IF(OR(A116="",B116=""),"",IF(B116="Activity",MAX(0,N(D116))*(MIN(100,MAX(0,N(E116)))/100)*(1+MAX(0,N(F116))+MAX(0,N(G116))),MAX(0,N(D116))*(MIN(100,MAX(0,N(E116)))/100)*I116))</f>
        <v/>
      </c>
      <c r="K116" s="25">
        <f>IF(OR(A116="",B116=""),"",MAX(0,N(D116))*(MIN(100,MAX(0,N(E116)))/100)*MAX(0,N(H116))*IFERROR(VLOOKUP(B116,Listas!$B$2:$D$13,3,0),0)*IF(B116="Activity",1+MAX(0,N(F116)),1))</f>
        <v/>
      </c>
    </row>
    <row r="117" ht="18" customHeight="1">
      <c r="A117" s="22" t="n"/>
      <c r="B117" s="22" t="n"/>
      <c r="C117" s="22" t="n"/>
      <c r="D117" s="5" t="n"/>
      <c r="E117" s="24" t="n"/>
      <c r="F117" s="5" t="n"/>
      <c r="G117" s="5" t="n"/>
      <c r="H117" s="5" t="n"/>
      <c r="I117" s="8">
        <f>IF(B117="","",IFERROR(VLOOKUP(B117,Listas!$B$2:$C$13,2,0),1))</f>
        <v/>
      </c>
      <c r="J117" s="25">
        <f>IF(OR(A117="",B117=""),"",IF(B117="Activity",MAX(0,N(D117))*(MIN(100,MAX(0,N(E117)))/100)*(1+MAX(0,N(F117))+MAX(0,N(G117))),MAX(0,N(D117))*(MIN(100,MAX(0,N(E117)))/100)*I117))</f>
        <v/>
      </c>
      <c r="K117" s="25">
        <f>IF(OR(A117="",B117=""),"",MAX(0,N(D117))*(MIN(100,MAX(0,N(E117)))/100)*MAX(0,N(H117))*IFERROR(VLOOKUP(B117,Listas!$B$2:$D$13,3,0),0)*IF(B117="Activity",1+MAX(0,N(F117)),1))</f>
        <v/>
      </c>
    </row>
    <row r="118" ht="18" customHeight="1">
      <c r="A118" s="22" t="n"/>
      <c r="B118" s="22" t="n"/>
      <c r="C118" s="22" t="n"/>
      <c r="D118" s="5" t="n"/>
      <c r="E118" s="24" t="n"/>
      <c r="F118" s="5" t="n"/>
      <c r="G118" s="5" t="n"/>
      <c r="H118" s="5" t="n"/>
      <c r="I118" s="8">
        <f>IF(B118="","",IFERROR(VLOOKUP(B118,Listas!$B$2:$C$13,2,0),1))</f>
        <v/>
      </c>
      <c r="J118" s="25">
        <f>IF(OR(A118="",B118=""),"",IF(B118="Activity",MAX(0,N(D118))*(MIN(100,MAX(0,N(E118)))/100)*(1+MAX(0,N(F118))+MAX(0,N(G118))),MAX(0,N(D118))*(MIN(100,MAX(0,N(E118)))/100)*I118))</f>
        <v/>
      </c>
      <c r="K118" s="25">
        <f>IF(OR(A118="",B118=""),"",MAX(0,N(D118))*(MIN(100,MAX(0,N(E118)))/100)*MAX(0,N(H118))*IFERROR(VLOOKUP(B118,Listas!$B$2:$D$13,3,0),0)*IF(B118="Activity",1+MAX(0,N(F118)),1))</f>
        <v/>
      </c>
    </row>
    <row r="119" ht="18" customHeight="1">
      <c r="A119" s="22" t="n"/>
      <c r="B119" s="22" t="n"/>
      <c r="C119" s="22" t="n"/>
      <c r="D119" s="5" t="n"/>
      <c r="E119" s="24" t="n"/>
      <c r="F119" s="5" t="n"/>
      <c r="G119" s="5" t="n"/>
      <c r="H119" s="5" t="n"/>
      <c r="I119" s="8">
        <f>IF(B119="","",IFERROR(VLOOKUP(B119,Listas!$B$2:$C$13,2,0),1))</f>
        <v/>
      </c>
      <c r="J119" s="25">
        <f>IF(OR(A119="",B119=""),"",IF(B119="Activity",MAX(0,N(D119))*(MIN(100,MAX(0,N(E119)))/100)*(1+MAX(0,N(F119))+MAX(0,N(G119))),MAX(0,N(D119))*(MIN(100,MAX(0,N(E119)))/100)*I119))</f>
        <v/>
      </c>
      <c r="K119" s="25">
        <f>IF(OR(A119="",B119=""),"",MAX(0,N(D119))*(MIN(100,MAX(0,N(E119)))/100)*MAX(0,N(H119))*IFERROR(VLOOKUP(B119,Listas!$B$2:$D$13,3,0),0)*IF(B119="Activity",1+MAX(0,N(F119)),1))</f>
        <v/>
      </c>
    </row>
    <row r="120" ht="18" customHeight="1">
      <c r="A120" s="22" t="n"/>
      <c r="B120" s="22" t="n"/>
      <c r="C120" s="22" t="n"/>
      <c r="D120" s="5" t="n"/>
      <c r="E120" s="24" t="n"/>
      <c r="F120" s="5" t="n"/>
      <c r="G120" s="5" t="n"/>
      <c r="H120" s="5" t="n"/>
      <c r="I120" s="8">
        <f>IF(B120="","",IFERROR(VLOOKUP(B120,Listas!$B$2:$C$13,2,0),1))</f>
        <v/>
      </c>
      <c r="J120" s="25">
        <f>IF(OR(A120="",B120=""),"",IF(B120="Activity",MAX(0,N(D120))*(MIN(100,MAX(0,N(E120)))/100)*(1+MAX(0,N(F120))+MAX(0,N(G120))),MAX(0,N(D120))*(MIN(100,MAX(0,N(E120)))/100)*I120))</f>
        <v/>
      </c>
      <c r="K120" s="25">
        <f>IF(OR(A120="",B120=""),"",MAX(0,N(D120))*(MIN(100,MAX(0,N(E120)))/100)*MAX(0,N(H120))*IFERROR(VLOOKUP(B120,Listas!$B$2:$D$13,3,0),0)*IF(B120="Activity",1+MAX(0,N(F120)),1))</f>
        <v/>
      </c>
    </row>
    <row r="121" ht="18" customHeight="1">
      <c r="A121" s="22" t="n"/>
      <c r="B121" s="22" t="n"/>
      <c r="C121" s="22" t="n"/>
      <c r="D121" s="5" t="n"/>
      <c r="E121" s="24" t="n"/>
      <c r="F121" s="5" t="n"/>
      <c r="G121" s="5" t="n"/>
      <c r="H121" s="5" t="n"/>
      <c r="I121" s="8">
        <f>IF(B121="","",IFERROR(VLOOKUP(B121,Listas!$B$2:$C$13,2,0),1))</f>
        <v/>
      </c>
      <c r="J121" s="25">
        <f>IF(OR(A121="",B121=""),"",IF(B121="Activity",MAX(0,N(D121))*(MIN(100,MAX(0,N(E121)))/100)*(1+MAX(0,N(F121))+MAX(0,N(G121))),MAX(0,N(D121))*(MIN(100,MAX(0,N(E121)))/100)*I121))</f>
        <v/>
      </c>
      <c r="K121" s="25">
        <f>IF(OR(A121="",B121=""),"",MAX(0,N(D121))*(MIN(100,MAX(0,N(E121)))/100)*MAX(0,N(H121))*IFERROR(VLOOKUP(B121,Listas!$B$2:$D$13,3,0),0)*IF(B121="Activity",1+MAX(0,N(F121)),1))</f>
        <v/>
      </c>
    </row>
    <row r="122" ht="18" customHeight="1">
      <c r="A122" s="22" t="n"/>
      <c r="B122" s="22" t="n"/>
      <c r="C122" s="22" t="n"/>
      <c r="D122" s="5" t="n"/>
      <c r="E122" s="24" t="n"/>
      <c r="F122" s="5" t="n"/>
      <c r="G122" s="5" t="n"/>
      <c r="H122" s="5" t="n"/>
      <c r="I122" s="8">
        <f>IF(B122="","",IFERROR(VLOOKUP(B122,Listas!$B$2:$C$13,2,0),1))</f>
        <v/>
      </c>
      <c r="J122" s="25">
        <f>IF(OR(A122="",B122=""),"",IF(B122="Activity",MAX(0,N(D122))*(MIN(100,MAX(0,N(E122)))/100)*(1+MAX(0,N(F122))+MAX(0,N(G122))),MAX(0,N(D122))*(MIN(100,MAX(0,N(E122)))/100)*I122))</f>
        <v/>
      </c>
      <c r="K122" s="25">
        <f>IF(OR(A122="",B122=""),"",MAX(0,N(D122))*(MIN(100,MAX(0,N(E122)))/100)*MAX(0,N(H122))*IFERROR(VLOOKUP(B122,Listas!$B$2:$D$13,3,0),0)*IF(B122="Activity",1+MAX(0,N(F122)),1))</f>
        <v/>
      </c>
    </row>
    <row r="123" ht="18" customHeight="1">
      <c r="A123" s="22" t="n"/>
      <c r="B123" s="22" t="n"/>
      <c r="C123" s="22" t="n"/>
      <c r="D123" s="5" t="n"/>
      <c r="E123" s="24" t="n"/>
      <c r="F123" s="5" t="n"/>
      <c r="G123" s="5" t="n"/>
      <c r="H123" s="5" t="n"/>
      <c r="I123" s="8">
        <f>IF(B123="","",IFERROR(VLOOKUP(B123,Listas!$B$2:$C$13,2,0),1))</f>
        <v/>
      </c>
      <c r="J123" s="25">
        <f>IF(OR(A123="",B123=""),"",IF(B123="Activity",MAX(0,N(D123))*(MIN(100,MAX(0,N(E123)))/100)*(1+MAX(0,N(F123))+MAX(0,N(G123))),MAX(0,N(D123))*(MIN(100,MAX(0,N(E123)))/100)*I123))</f>
        <v/>
      </c>
      <c r="K123" s="25">
        <f>IF(OR(A123="",B123=""),"",MAX(0,N(D123))*(MIN(100,MAX(0,N(E123)))/100)*MAX(0,N(H123))*IFERROR(VLOOKUP(B123,Listas!$B$2:$D$13,3,0),0)*IF(B123="Activity",1+MAX(0,N(F123)),1))</f>
        <v/>
      </c>
    </row>
    <row r="124" ht="18" customHeight="1">
      <c r="A124" s="22" t="n"/>
      <c r="B124" s="22" t="n"/>
      <c r="C124" s="22" t="n"/>
      <c r="D124" s="5" t="n"/>
      <c r="E124" s="24" t="n"/>
      <c r="F124" s="5" t="n"/>
      <c r="G124" s="5" t="n"/>
      <c r="H124" s="5" t="n"/>
      <c r="I124" s="8">
        <f>IF(B124="","",IFERROR(VLOOKUP(B124,Listas!$B$2:$C$13,2,0),1))</f>
        <v/>
      </c>
      <c r="J124" s="25">
        <f>IF(OR(A124="",B124=""),"",IF(B124="Activity",MAX(0,N(D124))*(MIN(100,MAX(0,N(E124)))/100)*(1+MAX(0,N(F124))+MAX(0,N(G124))),MAX(0,N(D124))*(MIN(100,MAX(0,N(E124)))/100)*I124))</f>
        <v/>
      </c>
      <c r="K124" s="25">
        <f>IF(OR(A124="",B124=""),"",MAX(0,N(D124))*(MIN(100,MAX(0,N(E124)))/100)*MAX(0,N(H124))*IFERROR(VLOOKUP(B124,Listas!$B$2:$D$13,3,0),0)*IF(B124="Activity",1+MAX(0,N(F124)),1))</f>
        <v/>
      </c>
    </row>
    <row r="125" ht="18" customHeight="1">
      <c r="A125" s="22" t="n"/>
      <c r="B125" s="22" t="n"/>
      <c r="C125" s="22" t="n"/>
      <c r="D125" s="5" t="n"/>
      <c r="E125" s="24" t="n"/>
      <c r="F125" s="5" t="n"/>
      <c r="G125" s="5" t="n"/>
      <c r="H125" s="5" t="n"/>
      <c r="I125" s="8">
        <f>IF(B125="","",IFERROR(VLOOKUP(B125,Listas!$B$2:$C$13,2,0),1))</f>
        <v/>
      </c>
      <c r="J125" s="25">
        <f>IF(OR(A125="",B125=""),"",IF(B125="Activity",MAX(0,N(D125))*(MIN(100,MAX(0,N(E125)))/100)*(1+MAX(0,N(F125))+MAX(0,N(G125))),MAX(0,N(D125))*(MIN(100,MAX(0,N(E125)))/100)*I125))</f>
        <v/>
      </c>
      <c r="K125" s="25">
        <f>IF(OR(A125="",B125=""),"",MAX(0,N(D125))*(MIN(100,MAX(0,N(E125)))/100)*MAX(0,N(H125))*IFERROR(VLOOKUP(B125,Listas!$B$2:$D$13,3,0),0)*IF(B125="Activity",1+MAX(0,N(F125)),1))</f>
        <v/>
      </c>
    </row>
    <row r="126" ht="18" customHeight="1">
      <c r="A126" s="22" t="n"/>
      <c r="B126" s="22" t="n"/>
      <c r="C126" s="22" t="n"/>
      <c r="D126" s="5" t="n"/>
      <c r="E126" s="24" t="n"/>
      <c r="F126" s="5" t="n"/>
      <c r="G126" s="5" t="n"/>
      <c r="H126" s="5" t="n"/>
      <c r="I126" s="8">
        <f>IF(B126="","",IFERROR(VLOOKUP(B126,Listas!$B$2:$C$13,2,0),1))</f>
        <v/>
      </c>
      <c r="J126" s="25">
        <f>IF(OR(A126="",B126=""),"",IF(B126="Activity",MAX(0,N(D126))*(MIN(100,MAX(0,N(E126)))/100)*(1+MAX(0,N(F126))+MAX(0,N(G126))),MAX(0,N(D126))*(MIN(100,MAX(0,N(E126)))/100)*I126))</f>
        <v/>
      </c>
      <c r="K126" s="25">
        <f>IF(OR(A126="",B126=""),"",MAX(0,N(D126))*(MIN(100,MAX(0,N(E126)))/100)*MAX(0,N(H126))*IFERROR(VLOOKUP(B126,Listas!$B$2:$D$13,3,0),0)*IF(B126="Activity",1+MAX(0,N(F126)),1))</f>
        <v/>
      </c>
    </row>
    <row r="127" ht="18" customHeight="1">
      <c r="A127" s="22" t="n"/>
      <c r="B127" s="22" t="n"/>
      <c r="C127" s="22" t="n"/>
      <c r="D127" s="5" t="n"/>
      <c r="E127" s="24" t="n"/>
      <c r="F127" s="5" t="n"/>
      <c r="G127" s="5" t="n"/>
      <c r="H127" s="5" t="n"/>
      <c r="I127" s="8">
        <f>IF(B127="","",IFERROR(VLOOKUP(B127,Listas!$B$2:$C$13,2,0),1))</f>
        <v/>
      </c>
      <c r="J127" s="25">
        <f>IF(OR(A127="",B127=""),"",IF(B127="Activity",MAX(0,N(D127))*(MIN(100,MAX(0,N(E127)))/100)*(1+MAX(0,N(F127))+MAX(0,N(G127))),MAX(0,N(D127))*(MIN(100,MAX(0,N(E127)))/100)*I127))</f>
        <v/>
      </c>
      <c r="K127" s="25">
        <f>IF(OR(A127="",B127=""),"",MAX(0,N(D127))*(MIN(100,MAX(0,N(E127)))/100)*MAX(0,N(H127))*IFERROR(VLOOKUP(B127,Listas!$B$2:$D$13,3,0),0)*IF(B127="Activity",1+MAX(0,N(F127)),1))</f>
        <v/>
      </c>
    </row>
    <row r="128" ht="18" customHeight="1">
      <c r="A128" s="22" t="n"/>
      <c r="B128" s="22" t="n"/>
      <c r="C128" s="22" t="n"/>
      <c r="D128" s="5" t="n"/>
      <c r="E128" s="24" t="n"/>
      <c r="F128" s="5" t="n"/>
      <c r="G128" s="5" t="n"/>
      <c r="H128" s="5" t="n"/>
      <c r="I128" s="8">
        <f>IF(B128="","",IFERROR(VLOOKUP(B128,Listas!$B$2:$C$13,2,0),1))</f>
        <v/>
      </c>
      <c r="J128" s="25">
        <f>IF(OR(A128="",B128=""),"",IF(B128="Activity",MAX(0,N(D128))*(MIN(100,MAX(0,N(E128)))/100)*(1+MAX(0,N(F128))+MAX(0,N(G128))),MAX(0,N(D128))*(MIN(100,MAX(0,N(E128)))/100)*I128))</f>
        <v/>
      </c>
      <c r="K128" s="25">
        <f>IF(OR(A128="",B128=""),"",MAX(0,N(D128))*(MIN(100,MAX(0,N(E128)))/100)*MAX(0,N(H128))*IFERROR(VLOOKUP(B128,Listas!$B$2:$D$13,3,0),0)*IF(B128="Activity",1+MAX(0,N(F128)),1))</f>
        <v/>
      </c>
    </row>
    <row r="129" ht="18" customHeight="1">
      <c r="A129" s="22" t="n"/>
      <c r="B129" s="22" t="n"/>
      <c r="C129" s="22" t="n"/>
      <c r="D129" s="5" t="n"/>
      <c r="E129" s="24" t="n"/>
      <c r="F129" s="5" t="n"/>
      <c r="G129" s="5" t="n"/>
      <c r="H129" s="5" t="n"/>
      <c r="I129" s="8">
        <f>IF(B129="","",IFERROR(VLOOKUP(B129,Listas!$B$2:$C$13,2,0),1))</f>
        <v/>
      </c>
      <c r="J129" s="25">
        <f>IF(OR(A129="",B129=""),"",IF(B129="Activity",MAX(0,N(D129))*(MIN(100,MAX(0,N(E129)))/100)*(1+MAX(0,N(F129))+MAX(0,N(G129))),MAX(0,N(D129))*(MIN(100,MAX(0,N(E129)))/100)*I129))</f>
        <v/>
      </c>
      <c r="K129" s="25">
        <f>IF(OR(A129="",B129=""),"",MAX(0,N(D129))*(MIN(100,MAX(0,N(E129)))/100)*MAX(0,N(H129))*IFERROR(VLOOKUP(B129,Listas!$B$2:$D$13,3,0),0)*IF(B129="Activity",1+MAX(0,N(F129)),1))</f>
        <v/>
      </c>
    </row>
    <row r="130" ht="18" customHeight="1">
      <c r="A130" s="22" t="n"/>
      <c r="B130" s="22" t="n"/>
      <c r="C130" s="22" t="n"/>
      <c r="D130" s="5" t="n"/>
      <c r="E130" s="24" t="n"/>
      <c r="F130" s="5" t="n"/>
      <c r="G130" s="5" t="n"/>
      <c r="H130" s="5" t="n"/>
      <c r="I130" s="8">
        <f>IF(B130="","",IFERROR(VLOOKUP(B130,Listas!$B$2:$C$13,2,0),1))</f>
        <v/>
      </c>
      <c r="J130" s="25">
        <f>IF(OR(A130="",B130=""),"",IF(B130="Activity",MAX(0,N(D130))*(MIN(100,MAX(0,N(E130)))/100)*(1+MAX(0,N(F130))+MAX(0,N(G130))),MAX(0,N(D130))*(MIN(100,MAX(0,N(E130)))/100)*I130))</f>
        <v/>
      </c>
      <c r="K130" s="25">
        <f>IF(OR(A130="",B130=""),"",MAX(0,N(D130))*(MIN(100,MAX(0,N(E130)))/100)*MAX(0,N(H130))*IFERROR(VLOOKUP(B130,Listas!$B$2:$D$13,3,0),0)*IF(B130="Activity",1+MAX(0,N(F130)),1))</f>
        <v/>
      </c>
    </row>
    <row r="131" ht="18" customHeight="1">
      <c r="A131" s="22" t="n"/>
      <c r="B131" s="22" t="n"/>
      <c r="C131" s="22" t="n"/>
      <c r="D131" s="5" t="n"/>
      <c r="E131" s="24" t="n"/>
      <c r="F131" s="5" t="n"/>
      <c r="G131" s="5" t="n"/>
      <c r="H131" s="5" t="n"/>
      <c r="I131" s="8">
        <f>IF(B131="","",IFERROR(VLOOKUP(B131,Listas!$B$2:$C$13,2,0),1))</f>
        <v/>
      </c>
      <c r="J131" s="25">
        <f>IF(OR(A131="",B131=""),"",IF(B131="Activity",MAX(0,N(D131))*(MIN(100,MAX(0,N(E131)))/100)*(1+MAX(0,N(F131))+MAX(0,N(G131))),MAX(0,N(D131))*(MIN(100,MAX(0,N(E131)))/100)*I131))</f>
        <v/>
      </c>
      <c r="K131" s="25">
        <f>IF(OR(A131="",B131=""),"",MAX(0,N(D131))*(MIN(100,MAX(0,N(E131)))/100)*MAX(0,N(H131))*IFERROR(VLOOKUP(B131,Listas!$B$2:$D$13,3,0),0)*IF(B131="Activity",1+MAX(0,N(F131)),1))</f>
        <v/>
      </c>
    </row>
    <row r="132" ht="18" customHeight="1">
      <c r="A132" s="22" t="n"/>
      <c r="B132" s="22" t="n"/>
      <c r="C132" s="22" t="n"/>
      <c r="D132" s="5" t="n"/>
      <c r="E132" s="24" t="n"/>
      <c r="F132" s="5" t="n"/>
      <c r="G132" s="5" t="n"/>
      <c r="H132" s="5" t="n"/>
      <c r="I132" s="8">
        <f>IF(B132="","",IFERROR(VLOOKUP(B132,Listas!$B$2:$C$13,2,0),1))</f>
        <v/>
      </c>
      <c r="J132" s="25">
        <f>IF(OR(A132="",B132=""),"",IF(B132="Activity",MAX(0,N(D132))*(MIN(100,MAX(0,N(E132)))/100)*(1+MAX(0,N(F132))+MAX(0,N(G132))),MAX(0,N(D132))*(MIN(100,MAX(0,N(E132)))/100)*I132))</f>
        <v/>
      </c>
      <c r="K132" s="25">
        <f>IF(OR(A132="",B132=""),"",MAX(0,N(D132))*(MIN(100,MAX(0,N(E132)))/100)*MAX(0,N(H132))*IFERROR(VLOOKUP(B132,Listas!$B$2:$D$13,3,0),0)*IF(B132="Activity",1+MAX(0,N(F132)),1))</f>
        <v/>
      </c>
    </row>
    <row r="133" ht="18" customHeight="1">
      <c r="A133" s="22" t="n"/>
      <c r="B133" s="22" t="n"/>
      <c r="C133" s="22" t="n"/>
      <c r="D133" s="5" t="n"/>
      <c r="E133" s="24" t="n"/>
      <c r="F133" s="5" t="n"/>
      <c r="G133" s="5" t="n"/>
      <c r="H133" s="5" t="n"/>
      <c r="I133" s="8">
        <f>IF(B133="","",IFERROR(VLOOKUP(B133,Listas!$B$2:$C$13,2,0),1))</f>
        <v/>
      </c>
      <c r="J133" s="25">
        <f>IF(OR(A133="",B133=""),"",IF(B133="Activity",MAX(0,N(D133))*(MIN(100,MAX(0,N(E133)))/100)*(1+MAX(0,N(F133))+MAX(0,N(G133))),MAX(0,N(D133))*(MIN(100,MAX(0,N(E133)))/100)*I133))</f>
        <v/>
      </c>
      <c r="K133" s="25">
        <f>IF(OR(A133="",B133=""),"",MAX(0,N(D133))*(MIN(100,MAX(0,N(E133)))/100)*MAX(0,N(H133))*IFERROR(VLOOKUP(B133,Listas!$B$2:$D$13,3,0),0)*IF(B133="Activity",1+MAX(0,N(F133)),1))</f>
        <v/>
      </c>
    </row>
    <row r="134" ht="18" customHeight="1">
      <c r="A134" s="22" t="n"/>
      <c r="B134" s="22" t="n"/>
      <c r="C134" s="22" t="n"/>
      <c r="D134" s="5" t="n"/>
      <c r="E134" s="24" t="n"/>
      <c r="F134" s="5" t="n"/>
      <c r="G134" s="5" t="n"/>
      <c r="H134" s="5" t="n"/>
      <c r="I134" s="8">
        <f>IF(B134="","",IFERROR(VLOOKUP(B134,Listas!$B$2:$C$13,2,0),1))</f>
        <v/>
      </c>
      <c r="J134" s="25">
        <f>IF(OR(A134="",B134=""),"",IF(B134="Activity",MAX(0,N(D134))*(MIN(100,MAX(0,N(E134)))/100)*(1+MAX(0,N(F134))+MAX(0,N(G134))),MAX(0,N(D134))*(MIN(100,MAX(0,N(E134)))/100)*I134))</f>
        <v/>
      </c>
      <c r="K134" s="25">
        <f>IF(OR(A134="",B134=""),"",MAX(0,N(D134))*(MIN(100,MAX(0,N(E134)))/100)*MAX(0,N(H134))*IFERROR(VLOOKUP(B134,Listas!$B$2:$D$13,3,0),0)*IF(B134="Activity",1+MAX(0,N(F134)),1))</f>
        <v/>
      </c>
    </row>
    <row r="135" ht="18" customHeight="1">
      <c r="A135" s="22" t="n"/>
      <c r="B135" s="22" t="n"/>
      <c r="C135" s="22" t="n"/>
      <c r="D135" s="5" t="n"/>
      <c r="E135" s="24" t="n"/>
      <c r="F135" s="5" t="n"/>
      <c r="G135" s="5" t="n"/>
      <c r="H135" s="5" t="n"/>
      <c r="I135" s="8">
        <f>IF(B135="","",IFERROR(VLOOKUP(B135,Listas!$B$2:$C$13,2,0),1))</f>
        <v/>
      </c>
      <c r="J135" s="25">
        <f>IF(OR(A135="",B135=""),"",IF(B135="Activity",MAX(0,N(D135))*(MIN(100,MAX(0,N(E135)))/100)*(1+MAX(0,N(F135))+MAX(0,N(G135))),MAX(0,N(D135))*(MIN(100,MAX(0,N(E135)))/100)*I135))</f>
        <v/>
      </c>
      <c r="K135" s="25">
        <f>IF(OR(A135="",B135=""),"",MAX(0,N(D135))*(MIN(100,MAX(0,N(E135)))/100)*MAX(0,N(H135))*IFERROR(VLOOKUP(B135,Listas!$B$2:$D$13,3,0),0)*IF(B135="Activity",1+MAX(0,N(F135)),1))</f>
        <v/>
      </c>
    </row>
    <row r="136" ht="18" customHeight="1">
      <c r="A136" s="22" t="n"/>
      <c r="B136" s="22" t="n"/>
      <c r="C136" s="22" t="n"/>
      <c r="D136" s="5" t="n"/>
      <c r="E136" s="24" t="n"/>
      <c r="F136" s="5" t="n"/>
      <c r="G136" s="5" t="n"/>
      <c r="H136" s="5" t="n"/>
      <c r="I136" s="8">
        <f>IF(B136="","",IFERROR(VLOOKUP(B136,Listas!$B$2:$C$13,2,0),1))</f>
        <v/>
      </c>
      <c r="J136" s="25">
        <f>IF(OR(A136="",B136=""),"",IF(B136="Activity",MAX(0,N(D136))*(MIN(100,MAX(0,N(E136)))/100)*(1+MAX(0,N(F136))+MAX(0,N(G136))),MAX(0,N(D136))*(MIN(100,MAX(0,N(E136)))/100)*I136))</f>
        <v/>
      </c>
      <c r="K136" s="25">
        <f>IF(OR(A136="",B136=""),"",MAX(0,N(D136))*(MIN(100,MAX(0,N(E136)))/100)*MAX(0,N(H136))*IFERROR(VLOOKUP(B136,Listas!$B$2:$D$13,3,0),0)*IF(B136="Activity",1+MAX(0,N(F136)),1))</f>
        <v/>
      </c>
    </row>
    <row r="137" ht="18" customHeight="1">
      <c r="A137" s="22" t="n"/>
      <c r="B137" s="22" t="n"/>
      <c r="C137" s="22" t="n"/>
      <c r="D137" s="5" t="n"/>
      <c r="E137" s="24" t="n"/>
      <c r="F137" s="5" t="n"/>
      <c r="G137" s="5" t="n"/>
      <c r="H137" s="5" t="n"/>
      <c r="I137" s="8">
        <f>IF(B137="","",IFERROR(VLOOKUP(B137,Listas!$B$2:$C$13,2,0),1))</f>
        <v/>
      </c>
      <c r="J137" s="25">
        <f>IF(OR(A137="",B137=""),"",IF(B137="Activity",MAX(0,N(D137))*(MIN(100,MAX(0,N(E137)))/100)*(1+MAX(0,N(F137))+MAX(0,N(G137))),MAX(0,N(D137))*(MIN(100,MAX(0,N(E137)))/100)*I137))</f>
        <v/>
      </c>
      <c r="K137" s="25">
        <f>IF(OR(A137="",B137=""),"",MAX(0,N(D137))*(MIN(100,MAX(0,N(E137)))/100)*MAX(0,N(H137))*IFERROR(VLOOKUP(B137,Listas!$B$2:$D$13,3,0),0)*IF(B137="Activity",1+MAX(0,N(F137)),1))</f>
        <v/>
      </c>
    </row>
    <row r="138" ht="18" customHeight="1">
      <c r="A138" s="22" t="n"/>
      <c r="B138" s="22" t="n"/>
      <c r="C138" s="22" t="n"/>
      <c r="D138" s="5" t="n"/>
      <c r="E138" s="24" t="n"/>
      <c r="F138" s="5" t="n"/>
      <c r="G138" s="5" t="n"/>
      <c r="H138" s="5" t="n"/>
      <c r="I138" s="8">
        <f>IF(B138="","",IFERROR(VLOOKUP(B138,Listas!$B$2:$C$13,2,0),1))</f>
        <v/>
      </c>
      <c r="J138" s="25">
        <f>IF(OR(A138="",B138=""),"",IF(B138="Activity",MAX(0,N(D138))*(MIN(100,MAX(0,N(E138)))/100)*(1+MAX(0,N(F138))+MAX(0,N(G138))),MAX(0,N(D138))*(MIN(100,MAX(0,N(E138)))/100)*I138))</f>
        <v/>
      </c>
      <c r="K138" s="25">
        <f>IF(OR(A138="",B138=""),"",MAX(0,N(D138))*(MIN(100,MAX(0,N(E138)))/100)*MAX(0,N(H138))*IFERROR(VLOOKUP(B138,Listas!$B$2:$D$13,3,0),0)*IF(B138="Activity",1+MAX(0,N(F138)),1))</f>
        <v/>
      </c>
    </row>
    <row r="139" ht="18" customHeight="1">
      <c r="A139" s="22" t="n"/>
      <c r="B139" s="22" t="n"/>
      <c r="C139" s="22" t="n"/>
      <c r="D139" s="5" t="n"/>
      <c r="E139" s="24" t="n"/>
      <c r="F139" s="5" t="n"/>
      <c r="G139" s="5" t="n"/>
      <c r="H139" s="5" t="n"/>
      <c r="I139" s="8">
        <f>IF(B139="","",IFERROR(VLOOKUP(B139,Listas!$B$2:$C$13,2,0),1))</f>
        <v/>
      </c>
      <c r="J139" s="25">
        <f>IF(OR(A139="",B139=""),"",IF(B139="Activity",MAX(0,N(D139))*(MIN(100,MAX(0,N(E139)))/100)*(1+MAX(0,N(F139))+MAX(0,N(G139))),MAX(0,N(D139))*(MIN(100,MAX(0,N(E139)))/100)*I139))</f>
        <v/>
      </c>
      <c r="K139" s="25">
        <f>IF(OR(A139="",B139=""),"",MAX(0,N(D139))*(MIN(100,MAX(0,N(E139)))/100)*MAX(0,N(H139))*IFERROR(VLOOKUP(B139,Listas!$B$2:$D$13,3,0),0)*IF(B139="Activity",1+MAX(0,N(F139)),1))</f>
        <v/>
      </c>
    </row>
    <row r="140" ht="18" customHeight="1">
      <c r="A140" s="22" t="n"/>
      <c r="B140" s="22" t="n"/>
      <c r="C140" s="22" t="n"/>
      <c r="D140" s="5" t="n"/>
      <c r="E140" s="24" t="n"/>
      <c r="F140" s="5" t="n"/>
      <c r="G140" s="5" t="n"/>
      <c r="H140" s="5" t="n"/>
      <c r="I140" s="8">
        <f>IF(B140="","",IFERROR(VLOOKUP(B140,Listas!$B$2:$C$13,2,0),1))</f>
        <v/>
      </c>
      <c r="J140" s="25">
        <f>IF(OR(A140="",B140=""),"",IF(B140="Activity",MAX(0,N(D140))*(MIN(100,MAX(0,N(E140)))/100)*(1+MAX(0,N(F140))+MAX(0,N(G140))),MAX(0,N(D140))*(MIN(100,MAX(0,N(E140)))/100)*I140))</f>
        <v/>
      </c>
      <c r="K140" s="25">
        <f>IF(OR(A140="",B140=""),"",MAX(0,N(D140))*(MIN(100,MAX(0,N(E140)))/100)*MAX(0,N(H140))*IFERROR(VLOOKUP(B140,Listas!$B$2:$D$13,3,0),0)*IF(B140="Activity",1+MAX(0,N(F140)),1))</f>
        <v/>
      </c>
    </row>
    <row r="141" ht="18" customHeight="1">
      <c r="A141" s="22" t="n"/>
      <c r="B141" s="22" t="n"/>
      <c r="C141" s="22" t="n"/>
      <c r="D141" s="5" t="n"/>
      <c r="E141" s="24" t="n"/>
      <c r="F141" s="5" t="n"/>
      <c r="G141" s="5" t="n"/>
      <c r="H141" s="5" t="n"/>
      <c r="I141" s="8">
        <f>IF(B141="","",IFERROR(VLOOKUP(B141,Listas!$B$2:$C$13,2,0),1))</f>
        <v/>
      </c>
      <c r="J141" s="25">
        <f>IF(OR(A141="",B141=""),"",IF(B141="Activity",MAX(0,N(D141))*(MIN(100,MAX(0,N(E141)))/100)*(1+MAX(0,N(F141))+MAX(0,N(G141))),MAX(0,N(D141))*(MIN(100,MAX(0,N(E141)))/100)*I141))</f>
        <v/>
      </c>
      <c r="K141" s="25">
        <f>IF(OR(A141="",B141=""),"",MAX(0,N(D141))*(MIN(100,MAX(0,N(E141)))/100)*MAX(0,N(H141))*IFERROR(VLOOKUP(B141,Listas!$B$2:$D$13,3,0),0)*IF(B141="Activity",1+MAX(0,N(F141)),1))</f>
        <v/>
      </c>
    </row>
    <row r="142" ht="18" customHeight="1">
      <c r="A142" s="22" t="n"/>
      <c r="B142" s="22" t="n"/>
      <c r="C142" s="22" t="n"/>
      <c r="D142" s="5" t="n"/>
      <c r="E142" s="24" t="n"/>
      <c r="F142" s="5" t="n"/>
      <c r="G142" s="5" t="n"/>
      <c r="H142" s="5" t="n"/>
      <c r="I142" s="8">
        <f>IF(B142="","",IFERROR(VLOOKUP(B142,Listas!$B$2:$C$13,2,0),1))</f>
        <v/>
      </c>
      <c r="J142" s="25">
        <f>IF(OR(A142="",B142=""),"",IF(B142="Activity",MAX(0,N(D142))*(MIN(100,MAX(0,N(E142)))/100)*(1+MAX(0,N(F142))+MAX(0,N(G142))),MAX(0,N(D142))*(MIN(100,MAX(0,N(E142)))/100)*I142))</f>
        <v/>
      </c>
      <c r="K142" s="25">
        <f>IF(OR(A142="",B142=""),"",MAX(0,N(D142))*(MIN(100,MAX(0,N(E142)))/100)*MAX(0,N(H142))*IFERROR(VLOOKUP(B142,Listas!$B$2:$D$13,3,0),0)*IF(B142="Activity",1+MAX(0,N(F142)),1))</f>
        <v/>
      </c>
    </row>
    <row r="143" ht="18" customHeight="1">
      <c r="A143" s="22" t="n"/>
      <c r="B143" s="22" t="n"/>
      <c r="C143" s="22" t="n"/>
      <c r="D143" s="5" t="n"/>
      <c r="E143" s="24" t="n"/>
      <c r="F143" s="5" t="n"/>
      <c r="G143" s="5" t="n"/>
      <c r="H143" s="5" t="n"/>
      <c r="I143" s="8">
        <f>IF(B143="","",IFERROR(VLOOKUP(B143,Listas!$B$2:$C$13,2,0),1))</f>
        <v/>
      </c>
      <c r="J143" s="25">
        <f>IF(OR(A143="",B143=""),"",IF(B143="Activity",MAX(0,N(D143))*(MIN(100,MAX(0,N(E143)))/100)*(1+MAX(0,N(F143))+MAX(0,N(G143))),MAX(0,N(D143))*(MIN(100,MAX(0,N(E143)))/100)*I143))</f>
        <v/>
      </c>
      <c r="K143" s="25">
        <f>IF(OR(A143="",B143=""),"",MAX(0,N(D143))*(MIN(100,MAX(0,N(E143)))/100)*MAX(0,N(H143))*IFERROR(VLOOKUP(B143,Listas!$B$2:$D$13,3,0),0)*IF(B143="Activity",1+MAX(0,N(F143)),1))</f>
        <v/>
      </c>
    </row>
    <row r="144" ht="18" customHeight="1">
      <c r="A144" s="22" t="n"/>
      <c r="B144" s="22" t="n"/>
      <c r="C144" s="22" t="n"/>
      <c r="D144" s="5" t="n"/>
      <c r="E144" s="24" t="n"/>
      <c r="F144" s="5" t="n"/>
      <c r="G144" s="5" t="n"/>
      <c r="H144" s="5" t="n"/>
      <c r="I144" s="8">
        <f>IF(B144="","",IFERROR(VLOOKUP(B144,Listas!$B$2:$C$13,2,0),1))</f>
        <v/>
      </c>
      <c r="J144" s="25">
        <f>IF(OR(A144="",B144=""),"",IF(B144="Activity",MAX(0,N(D144))*(MIN(100,MAX(0,N(E144)))/100)*(1+MAX(0,N(F144))+MAX(0,N(G144))),MAX(0,N(D144))*(MIN(100,MAX(0,N(E144)))/100)*I144))</f>
        <v/>
      </c>
      <c r="K144" s="25">
        <f>IF(OR(A144="",B144=""),"",MAX(0,N(D144))*(MIN(100,MAX(0,N(E144)))/100)*MAX(0,N(H144))*IFERROR(VLOOKUP(B144,Listas!$B$2:$D$13,3,0),0)*IF(B144="Activity",1+MAX(0,N(F144)),1))</f>
        <v/>
      </c>
    </row>
    <row r="145" ht="18" customHeight="1">
      <c r="A145" s="22" t="n"/>
      <c r="B145" s="22" t="n"/>
      <c r="C145" s="22" t="n"/>
      <c r="D145" s="5" t="n"/>
      <c r="E145" s="24" t="n"/>
      <c r="F145" s="5" t="n"/>
      <c r="G145" s="5" t="n"/>
      <c r="H145" s="5" t="n"/>
      <c r="I145" s="8">
        <f>IF(B145="","",IFERROR(VLOOKUP(B145,Listas!$B$2:$C$13,2,0),1))</f>
        <v/>
      </c>
      <c r="J145" s="25">
        <f>IF(OR(A145="",B145=""),"",IF(B145="Activity",MAX(0,N(D145))*(MIN(100,MAX(0,N(E145)))/100)*(1+MAX(0,N(F145))+MAX(0,N(G145))),MAX(0,N(D145))*(MIN(100,MAX(0,N(E145)))/100)*I145))</f>
        <v/>
      </c>
      <c r="K145" s="25">
        <f>IF(OR(A145="",B145=""),"",MAX(0,N(D145))*(MIN(100,MAX(0,N(E145)))/100)*MAX(0,N(H145))*IFERROR(VLOOKUP(B145,Listas!$B$2:$D$13,3,0),0)*IF(B145="Activity",1+MAX(0,N(F145)),1))</f>
        <v/>
      </c>
    </row>
    <row r="146" ht="18" customHeight="1">
      <c r="A146" s="22" t="n"/>
      <c r="B146" s="22" t="n"/>
      <c r="C146" s="22" t="n"/>
      <c r="D146" s="5" t="n"/>
      <c r="E146" s="24" t="n"/>
      <c r="F146" s="5" t="n"/>
      <c r="G146" s="5" t="n"/>
      <c r="H146" s="5" t="n"/>
      <c r="I146" s="8">
        <f>IF(B146="","",IFERROR(VLOOKUP(B146,Listas!$B$2:$C$13,2,0),1))</f>
        <v/>
      </c>
      <c r="J146" s="25">
        <f>IF(OR(A146="",B146=""),"",IF(B146="Activity",MAX(0,N(D146))*(MIN(100,MAX(0,N(E146)))/100)*(1+MAX(0,N(F146))+MAX(0,N(G146))),MAX(0,N(D146))*(MIN(100,MAX(0,N(E146)))/100)*I146))</f>
        <v/>
      </c>
      <c r="K146" s="25">
        <f>IF(OR(A146="",B146=""),"",MAX(0,N(D146))*(MIN(100,MAX(0,N(E146)))/100)*MAX(0,N(H146))*IFERROR(VLOOKUP(B146,Listas!$B$2:$D$13,3,0),0)*IF(B146="Activity",1+MAX(0,N(F146)),1))</f>
        <v/>
      </c>
    </row>
    <row r="147" ht="18" customHeight="1">
      <c r="A147" s="22" t="n"/>
      <c r="B147" s="22" t="n"/>
      <c r="C147" s="22" t="n"/>
      <c r="D147" s="5" t="n"/>
      <c r="E147" s="24" t="n"/>
      <c r="F147" s="5" t="n"/>
      <c r="G147" s="5" t="n"/>
      <c r="H147" s="5" t="n"/>
      <c r="I147" s="8">
        <f>IF(B147="","",IFERROR(VLOOKUP(B147,Listas!$B$2:$C$13,2,0),1))</f>
        <v/>
      </c>
      <c r="J147" s="25">
        <f>IF(OR(A147="",B147=""),"",IF(B147="Activity",MAX(0,N(D147))*(MIN(100,MAX(0,N(E147)))/100)*(1+MAX(0,N(F147))+MAX(0,N(G147))),MAX(0,N(D147))*(MIN(100,MAX(0,N(E147)))/100)*I147))</f>
        <v/>
      </c>
      <c r="K147" s="25">
        <f>IF(OR(A147="",B147=""),"",MAX(0,N(D147))*(MIN(100,MAX(0,N(E147)))/100)*MAX(0,N(H147))*IFERROR(VLOOKUP(B147,Listas!$B$2:$D$13,3,0),0)*IF(B147="Activity",1+MAX(0,N(F147)),1))</f>
        <v/>
      </c>
    </row>
    <row r="148" ht="18" customHeight="1">
      <c r="A148" s="22" t="n"/>
      <c r="B148" s="22" t="n"/>
      <c r="C148" s="22" t="n"/>
      <c r="D148" s="5" t="n"/>
      <c r="E148" s="24" t="n"/>
      <c r="F148" s="5" t="n"/>
      <c r="G148" s="5" t="n"/>
      <c r="H148" s="5" t="n"/>
      <c r="I148" s="8">
        <f>IF(B148="","",IFERROR(VLOOKUP(B148,Listas!$B$2:$C$13,2,0),1))</f>
        <v/>
      </c>
      <c r="J148" s="25">
        <f>IF(OR(A148="",B148=""),"",IF(B148="Activity",MAX(0,N(D148))*(MIN(100,MAX(0,N(E148)))/100)*(1+MAX(0,N(F148))+MAX(0,N(G148))),MAX(0,N(D148))*(MIN(100,MAX(0,N(E148)))/100)*I148))</f>
        <v/>
      </c>
      <c r="K148" s="25">
        <f>IF(OR(A148="",B148=""),"",MAX(0,N(D148))*(MIN(100,MAX(0,N(E148)))/100)*MAX(0,N(H148))*IFERROR(VLOOKUP(B148,Listas!$B$2:$D$13,3,0),0)*IF(B148="Activity",1+MAX(0,N(F148)),1))</f>
        <v/>
      </c>
    </row>
    <row r="149" ht="18" customHeight="1">
      <c r="A149" s="22" t="n"/>
      <c r="B149" s="22" t="n"/>
      <c r="C149" s="22" t="n"/>
      <c r="D149" s="5" t="n"/>
      <c r="E149" s="24" t="n"/>
      <c r="F149" s="5" t="n"/>
      <c r="G149" s="5" t="n"/>
      <c r="H149" s="5" t="n"/>
      <c r="I149" s="8">
        <f>IF(B149="","",IFERROR(VLOOKUP(B149,Listas!$B$2:$C$13,2,0),1))</f>
        <v/>
      </c>
      <c r="J149" s="25">
        <f>IF(OR(A149="",B149=""),"",IF(B149="Activity",MAX(0,N(D149))*(MIN(100,MAX(0,N(E149)))/100)*(1+MAX(0,N(F149))+MAX(0,N(G149))),MAX(0,N(D149))*(MIN(100,MAX(0,N(E149)))/100)*I149))</f>
        <v/>
      </c>
      <c r="K149" s="25">
        <f>IF(OR(A149="",B149=""),"",MAX(0,N(D149))*(MIN(100,MAX(0,N(E149)))/100)*MAX(0,N(H149))*IFERROR(VLOOKUP(B149,Listas!$B$2:$D$13,3,0),0)*IF(B149="Activity",1+MAX(0,N(F149)),1))</f>
        <v/>
      </c>
    </row>
    <row r="150" ht="18" customHeight="1">
      <c r="A150" s="22" t="n"/>
      <c r="B150" s="22" t="n"/>
      <c r="C150" s="22" t="n"/>
      <c r="D150" s="5" t="n"/>
      <c r="E150" s="24" t="n"/>
      <c r="F150" s="5" t="n"/>
      <c r="G150" s="5" t="n"/>
      <c r="H150" s="5" t="n"/>
      <c r="I150" s="8">
        <f>IF(B150="","",IFERROR(VLOOKUP(B150,Listas!$B$2:$C$13,2,0),1))</f>
        <v/>
      </c>
      <c r="J150" s="25">
        <f>IF(OR(A150="",B150=""),"",IF(B150="Activity",MAX(0,N(D150))*(MIN(100,MAX(0,N(E150)))/100)*(1+MAX(0,N(F150))+MAX(0,N(G150))),MAX(0,N(D150))*(MIN(100,MAX(0,N(E150)))/100)*I150))</f>
        <v/>
      </c>
      <c r="K150" s="25">
        <f>IF(OR(A150="",B150=""),"",MAX(0,N(D150))*(MIN(100,MAX(0,N(E150)))/100)*MAX(0,N(H150))*IFERROR(VLOOKUP(B150,Listas!$B$2:$D$13,3,0),0)*IF(B150="Activity",1+MAX(0,N(F150)),1))</f>
        <v/>
      </c>
    </row>
    <row r="151" ht="18" customHeight="1">
      <c r="A151" s="22" t="n"/>
      <c r="B151" s="22" t="n"/>
      <c r="C151" s="22" t="n"/>
      <c r="D151" s="5" t="n"/>
      <c r="E151" s="24" t="n"/>
      <c r="F151" s="5" t="n"/>
      <c r="G151" s="5" t="n"/>
      <c r="H151" s="5" t="n"/>
      <c r="I151" s="8">
        <f>IF(B151="","",IFERROR(VLOOKUP(B151,Listas!$B$2:$C$13,2,0),1))</f>
        <v/>
      </c>
      <c r="J151" s="25">
        <f>IF(OR(A151="",B151=""),"",IF(B151="Activity",MAX(0,N(D151))*(MIN(100,MAX(0,N(E151)))/100)*(1+MAX(0,N(F151))+MAX(0,N(G151))),MAX(0,N(D151))*(MIN(100,MAX(0,N(E151)))/100)*I151))</f>
        <v/>
      </c>
      <c r="K151" s="25">
        <f>IF(OR(A151="",B151=""),"",MAX(0,N(D151))*(MIN(100,MAX(0,N(E151)))/100)*MAX(0,N(H151))*IFERROR(VLOOKUP(B151,Listas!$B$2:$D$13,3,0),0)*IF(B151="Activity",1+MAX(0,N(F151)),1))</f>
        <v/>
      </c>
    </row>
  </sheetData>
  <autoFilter ref="A1:K151"/>
  <dataValidations count="2">
    <dataValidation sqref="A2:A151" showDropDown="0" showInputMessage="0" showErrorMessage="1" allowBlank="1" errorTitle="Workflow" error="Elige un nombre de la hoja Workflows" type="list">
      <formula1>=Workflows!$A$2:$A$21</formula1>
    </dataValidation>
    <dataValidation sqref="B2:B151" showDropDown="0" showInputMessage="0" showErrorMessage="1" allowBlank="1" errorTitle="Tipo" error="Elige un tipo de la hoja Listas" type="list">
      <formula1>=Listas!$B$2:$B$13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5EEF"/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52" customWidth="1" min="2" max="2"/>
    <col width="28" customWidth="1" min="3" max="3"/>
    <col width="72" customWidth="1" min="4" max="4"/>
  </cols>
  <sheetData>
    <row r="1">
      <c r="A1" s="1" t="inlineStr">
        <is>
          <t>Catálogo oficial de Actions (referencia, no input)</t>
        </is>
      </c>
    </row>
    <row r="3">
      <c r="A3" s="2" t="inlineStr">
        <is>
          <t>En la calculadora</t>
        </is>
      </c>
      <c r="B3" s="2" t="inlineStr">
        <is>
          <t>Usage / metric name</t>
        </is>
      </c>
      <c r="C3" s="2" t="inlineStr">
        <is>
          <t>Actions</t>
        </is>
      </c>
      <c r="D3" s="2" t="inlineStr">
        <is>
          <t>Nota oficial</t>
        </is>
      </c>
    </row>
    <row r="4" ht="32" customHeight="1">
      <c r="A4" s="3" t="inlineStr">
        <is>
          <t>Origen Cliente</t>
        </is>
      </c>
      <c r="B4" s="3" t="inlineStr">
        <is>
          <t>start_workflow</t>
        </is>
      </c>
      <c r="C4" s="3" t="inlineStr">
        <is>
          <t>1</t>
        </is>
      </c>
      <c r="D4" s="3" t="inlineStr">
        <is>
          <t>Start vía client. Dedup por Workflow ID no cuenta.</t>
        </is>
      </c>
    </row>
    <row r="5" ht="32" customHeight="1">
      <c r="A5" s="3" t="inlineStr">
        <is>
          <t>Origen Signal-With-Start</t>
        </is>
      </c>
      <c r="B5" s="3" t="inlineStr">
        <is>
          <t>signal_workflow_with_start</t>
        </is>
      </c>
      <c r="C5" s="3" t="inlineStr">
        <is>
          <t>1</t>
        </is>
      </c>
      <c r="D5" s="3" t="inlineStr">
        <is>
          <t>Un Action total, arranque o no.</t>
        </is>
      </c>
    </row>
    <row r="6" ht="32" customHeight="1">
      <c r="A6" s="3" t="inlineStr">
        <is>
          <t>Origen Schedule</t>
        </is>
      </c>
      <c r="B6" s="3" t="inlineStr">
        <is>
          <t>schedule start + start_workflow</t>
        </is>
      </c>
      <c r="C6" s="3" t="inlineStr">
        <is>
          <t>3</t>
        </is>
      </c>
      <c r="D6" s="3" t="inlineStr">
        <is>
          <t>Schedule Start cuenta 2; el workflow 1.</t>
        </is>
      </c>
    </row>
    <row r="7" ht="32" customHeight="1">
      <c r="A7" s="3" t="inlineStr">
        <is>
          <t>Activity</t>
        </is>
      </c>
      <c r="B7" s="3" t="inlineStr">
        <is>
          <t>schedule_activity + retry_activity + record_activity_heartbeat</t>
        </is>
      </c>
      <c r="C7" s="3" t="inlineStr">
        <is>
          <t>1 + retries + HB</t>
        </is>
      </c>
      <c r="D7" s="3" t="inlineStr">
        <is>
          <t>HB solo si llega al server. SDK throttle ~80% del timeout.</t>
        </is>
      </c>
    </row>
    <row r="8" ht="32" customHeight="1">
      <c r="A8" s="3" t="inlineStr">
        <is>
          <t>Local Activities (1 por WFT)</t>
        </is>
      </c>
      <c r="B8" s="3" t="inlineStr">
        <is>
          <t>record_activity_markers</t>
        </is>
      </c>
      <c r="C8" s="3" t="inlineStr">
        <is>
          <t>1 por Workflow Task</t>
        </is>
      </c>
      <c r="D8" s="3" t="inlineStr">
        <is>
          <t>N Local Activities del mismo WFT = 1 Action.</t>
        </is>
      </c>
    </row>
    <row r="9" ht="32" customHeight="1">
      <c r="A9" s="3" t="inlineStr">
        <is>
          <t>Timer / timeout SDK</t>
        </is>
      </c>
      <c r="B9" s="3" t="inlineStr">
        <is>
          <t>start_timer</t>
        </is>
      </c>
      <c r="C9" s="3" t="inlineStr">
        <is>
          <t>1</t>
        </is>
      </c>
      <c r="D9" s="3" t="inlineStr">
        <is>
          <t>Incluye AwaitWithTimeout / condition.</t>
        </is>
      </c>
    </row>
    <row r="10" ht="32" customHeight="1">
      <c r="A10" s="3" t="inlineStr">
        <is>
          <t>Signal</t>
        </is>
      </c>
      <c r="B10" s="3" t="inlineStr">
        <is>
          <t>signal_workflow</t>
        </is>
      </c>
      <c r="C10" s="3" t="inlineStr">
        <is>
          <t>1</t>
        </is>
      </c>
      <c r="D10" s="3" t="inlineStr">
        <is>
          <t>Client o workflow.</t>
        </is>
      </c>
    </row>
    <row r="11" ht="32" customHeight="1">
      <c r="A11" s="3" t="inlineStr">
        <is>
          <t>Signal externo</t>
        </is>
      </c>
      <c r="B11" s="3" t="inlineStr">
        <is>
          <t>signal_external_workflow</t>
        </is>
      </c>
      <c r="C11" s="3" t="inlineStr">
        <is>
          <t>1</t>
        </is>
      </c>
      <c r="D11" s="3" t="inlineStr">
        <is>
          <t>En el history del signaled.</t>
        </is>
      </c>
    </row>
    <row r="12" ht="32" customHeight="1">
      <c r="A12" s="3" t="inlineStr">
        <is>
          <t>Query</t>
        </is>
      </c>
      <c r="B12" s="3" t="inlineStr">
        <is>
          <t>query_workflow</t>
        </is>
      </c>
      <c r="C12" s="3" t="inlineStr">
        <is>
          <t>1</t>
        </is>
      </c>
      <c r="D12" s="3" t="inlineStr">
        <is>
          <t>Incluye call stack en UI Cloud. __temporal_workflow_metadata excluida.</t>
        </is>
      </c>
    </row>
    <row r="13" ht="32" customHeight="1">
      <c r="A13" s="3" t="inlineStr">
        <is>
          <t>Update</t>
        </is>
      </c>
      <c r="B13" s="3" t="inlineStr">
        <is>
          <t>accept_workflow_update / reject_workflow_update</t>
        </is>
      </c>
      <c r="C13" s="3" t="inlineStr">
        <is>
          <t>1</t>
        </is>
      </c>
      <c r="D13" s="3" t="inlineStr">
        <is>
          <t>Dedup por Update ID no cuenta.</t>
        </is>
      </c>
    </row>
    <row r="14" ht="32" customHeight="1">
      <c r="A14" s="3" t="inlineStr">
        <is>
          <t>Child (hijo NO listado)</t>
        </is>
      </c>
      <c r="B14" s="3" t="inlineStr">
        <is>
          <t>start_child_workflow + start</t>
        </is>
      </c>
      <c r="C14" s="3" t="inlineStr">
        <is>
          <t>2</t>
        </is>
      </c>
      <c r="D14" s="3" t="inlineStr">
        <is>
          <t>Intent + intento de start. Si el hijo es otra fila, no uses este tipo.</t>
        </is>
      </c>
    </row>
    <row r="15" ht="32" customHeight="1">
      <c r="A15" s="3" t="inlineStr">
        <is>
          <t>Continue-As-New</t>
        </is>
      </c>
      <c r="B15" s="3" t="inlineStr">
        <is>
          <t>continue_as_new_workflow</t>
        </is>
      </c>
      <c r="C15" s="3" t="inlineStr">
        <is>
          <t>1</t>
        </is>
      </c>
      <c r="D15" s="3" t="inlineStr">
        <is>
          <t>El nuevo run también tiene su start.</t>
        </is>
      </c>
    </row>
    <row r="16" ht="32" customHeight="1">
      <c r="A16" s="3" t="inlineStr">
        <is>
          <t>Upsert Search Attributes</t>
        </is>
      </c>
      <c r="B16" s="3" t="inlineStr">
        <is>
          <t>upsert_workflow_search_attributes</t>
        </is>
      </c>
      <c r="C16" s="3" t="inlineStr">
        <is>
          <t>1 por comando</t>
        </is>
      </c>
      <c r="D16" s="3" t="inlineStr">
        <is>
          <t>Varios SA en un comando = 1. SA al start no cuentan.</t>
        </is>
      </c>
    </row>
    <row r="17" ht="32" customHeight="1">
      <c r="A17" s="3" t="inlineStr">
        <is>
          <t>Nexus Operation (caller)</t>
        </is>
      </c>
      <c r="B17" s="3" t="inlineStr">
        <is>
          <t>schedule_nexus_operation</t>
        </is>
      </c>
      <c r="C17" s="3" t="inlineStr">
        <is>
          <t>1 en caller</t>
        </is>
      </c>
      <c r="D17" s="3" t="inlineStr">
        <is>
          <t>El handler factura sus primitives aparte.</t>
        </is>
      </c>
    </row>
    <row r="18" ht="32" customHeight="1">
      <c r="A18" s="3" t="inlineStr">
        <is>
          <t>WFT Heartbeat (LA largas)</t>
        </is>
      </c>
      <c r="B18" s="3" t="inlineStr">
        <is>
          <t>record_workflow_heartbeat</t>
        </is>
      </c>
      <c r="C18" s="3" t="inlineStr">
        <is>
          <t>1</t>
        </is>
      </c>
      <c r="D18" s="3" t="inlineStr">
        <is>
          <t>Local Activities largas que latean el WFT.</t>
        </is>
      </c>
    </row>
    <row r="19" ht="32" customHeight="1">
      <c r="A19" s="3" t="inlineStr">
        <is>
          <t>Replay</t>
        </is>
      </c>
      <c r="B19" s="3" t="inlineStr">
        <is>
          <t>-</t>
        </is>
      </c>
      <c r="C19" s="3" t="inlineStr">
        <is>
          <t>0</t>
        </is>
      </c>
      <c r="D19" s="3" t="inlineStr">
        <is>
          <t>No factura. Solo worker.</t>
        </is>
      </c>
    </row>
    <row r="21">
      <c r="A21" s="26" t="inlineStr">
        <is>
          <t>https://docs.temporal.io/cloud/actions</t>
        </is>
      </c>
    </row>
    <row r="22">
      <c r="A22" s="26" t="inlineStr">
        <is>
          <t>https://docs.temporal.io/cloud/pricing</t>
        </is>
      </c>
    </row>
  </sheetData>
  <mergeCells count="1">
    <mergeCell ref="A1:D1"/>
  </mergeCells>
  <hyperlinks>
    <hyperlink xmlns:r="http://schemas.openxmlformats.org/officeDocument/2006/relationships" ref="A21" r:id="rId1"/>
    <hyperlink xmlns:r="http://schemas.openxmlformats.org/officeDocument/2006/relationships" ref="A22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941C6"/>
    <outlinePr summaryBelow="1" summaryRight="1"/>
    <pageSetUpPr/>
  </sheetPr>
  <dimension ref="A1:G5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22" customWidth="1" min="3" max="3"/>
    <col width="18" customWidth="1" min="4" max="4"/>
    <col width="24" customWidth="1" min="5" max="5"/>
    <col width="52" customWidth="1" min="6" max="6"/>
    <col width="62" customWidth="1" min="7" max="7"/>
  </cols>
  <sheetData>
    <row r="1" ht="28" customHeight="1">
      <c r="A1" s="1" t="inlineStr">
        <is>
          <t>Diccionario del Excel — Temporal Cloud (commitment 3 años)</t>
        </is>
      </c>
    </row>
    <row r="3">
      <c r="A3" s="6" t="inlineStr">
        <is>
          <t>Conceptos (Active y Retained son dos cobros distintos)</t>
        </is>
      </c>
    </row>
    <row r="4" ht="48" customHeight="1">
      <c r="A4" s="3" t="inlineStr">
        <is>
          <t>Event History</t>
        </is>
      </c>
      <c r="B4" s="3" t="inlineStr">
        <is>
          <t>Log append-only de una Workflow Execution: start, activities (input y result), signals, timers, etc. Es el dato que Temporal Cloud guarda en disco. NO se ingresa: se calcula de los Payloads. El mismo Event History (KB) se usa para Active y para Retained; lo que cambia es CUANTO TIEMPO se cobra.</t>
        </is>
      </c>
    </row>
    <row r="5" ht="48" customHeight="1">
      <c r="A5" s="3" t="inlineStr">
        <is>
          <t>Active Storage</t>
        </is>
      </c>
      <c r="B5" s="3" t="inlineStr">
        <is>
          <t>GB-hora del Event History MIENTRAS la ejecución está Running (open). Tiempo = Workflow Execution Duration (h). NO usa Namespace Retention Period.</t>
        </is>
      </c>
    </row>
    <row r="6" ht="48" customHeight="1">
      <c r="A6" s="3" t="inlineStr">
        <is>
          <t>Retained Storage</t>
        </is>
      </c>
      <c r="B6" s="3" t="inlineStr">
        <is>
          <t>GB-hora del Event History DESPUES de close, mientras el namespace lo retiene. Tiempo = Namespace Retention Period (días) × 24 h. NO usa Workflow Execution Duration.</t>
        </is>
      </c>
    </row>
    <row r="7" ht="48" customHeight="1">
      <c r="A7" s="3" t="inlineStr">
        <is>
          <t>Namespace Retention Period</t>
        </is>
      </c>
      <c r="B7" s="3" t="inlineStr">
        <is>
          <t>Setting del namespace (uno solo para todos los workflow types). Máx. 90 días en Temporal Cloud. Solo entra en Retained Storage. No hay un Retention de Active distinto: Active dura lo que dure el run.</t>
        </is>
      </c>
    </row>
    <row r="9" ht="24" customHeight="1">
      <c r="A9" s="21" t="inlineStr">
        <is>
          <t>Término</t>
        </is>
      </c>
      <c r="B9" s="21" t="inlineStr">
        <is>
          <t>Hoja</t>
        </is>
      </c>
      <c r="C9" s="21" t="inlineStr">
        <is>
          <t>Columna / celda</t>
        </is>
      </c>
      <c r="D9" s="21" t="inlineStr">
        <is>
          <t>Tipo</t>
        </is>
      </c>
      <c r="E9" s="21" t="inlineStr">
        <is>
          <t>Aplica a</t>
        </is>
      </c>
      <c r="F9" s="21" t="inlineStr">
        <is>
          <t>Qué es</t>
        </is>
      </c>
      <c r="G9" s="21" t="inlineStr">
        <is>
          <t>Cómo se calcula / usa</t>
        </is>
      </c>
    </row>
    <row r="10" ht="42" customHeight="1">
      <c r="A10" s="3" t="inlineStr">
        <is>
          <t>Actions ($ / millón)</t>
        </is>
      </c>
      <c r="B10" s="3" t="inlineStr">
        <is>
          <t>Tarifas</t>
        </is>
      </c>
      <c r="C10" s="3" t="inlineStr">
        <is>
          <t>B4  RATE_ACTIONS</t>
        </is>
      </c>
      <c r="D10" s="3" t="inlineStr">
        <is>
          <t>input (amarillo)</t>
        </is>
      </c>
      <c r="E10" s="3" t="inlineStr">
        <is>
          <t>Actions</t>
        </is>
      </c>
      <c r="F10" s="3" t="inlineStr">
        <is>
          <t>Precio del commitment por millón de Actions.</t>
        </is>
      </c>
      <c r="G10" s="3" t="inlineStr">
        <is>
          <t>Costo Actions = Actions/mes / 1e6 × esta tarifa.</t>
        </is>
      </c>
    </row>
    <row r="11" ht="42" customHeight="1">
      <c r="A11" s="27" t="inlineStr">
        <is>
          <t>Active Storage ($ / GB-h)</t>
        </is>
      </c>
      <c r="B11" s="27" t="inlineStr">
        <is>
          <t>Tarifas</t>
        </is>
      </c>
      <c r="C11" s="27" t="inlineStr">
        <is>
          <t>B5  RATE_ACTIVE</t>
        </is>
      </c>
      <c r="D11" s="27" t="inlineStr">
        <is>
          <t>input (amarillo)</t>
        </is>
      </c>
      <c r="E11" s="27" t="inlineStr">
        <is>
          <t>Active Storage</t>
        </is>
      </c>
      <c r="F11" s="27" t="inlineStr">
        <is>
          <t>Precio del GB-hora mientras el workflow está Running.</t>
        </is>
      </c>
      <c r="G11" s="27" t="inlineStr">
        <is>
          <t>Costo Active = Active GBh × esta tarifa.</t>
        </is>
      </c>
    </row>
    <row r="12" ht="42" customHeight="1">
      <c r="A12" s="3" t="inlineStr">
        <is>
          <t>Retained Storage ($ / GB-h)</t>
        </is>
      </c>
      <c r="B12" s="3" t="inlineStr">
        <is>
          <t>Tarifas</t>
        </is>
      </c>
      <c r="C12" s="3" t="inlineStr">
        <is>
          <t>B6  RATE_RETAINED</t>
        </is>
      </c>
      <c r="D12" s="3" t="inlineStr">
        <is>
          <t>input (amarillo)</t>
        </is>
      </c>
      <c r="E12" s="3" t="inlineStr">
        <is>
          <t>Retained Storage</t>
        </is>
      </c>
      <c r="F12" s="3" t="inlineStr">
        <is>
          <t>Precio del GB-hora del Event History ya cerrado.</t>
        </is>
      </c>
      <c r="G12" s="3" t="inlineStr">
        <is>
          <t>Costo Retained = Retained GBh × esta tarifa.</t>
        </is>
      </c>
    </row>
    <row r="13" ht="42" customHeight="1">
      <c r="A13" s="27" t="inlineStr">
        <is>
          <t>Horas / mes</t>
        </is>
      </c>
      <c r="B13" s="27" t="inlineStr">
        <is>
          <t>Tarifas</t>
        </is>
      </c>
      <c r="C13" s="27" t="inlineStr">
        <is>
          <t>B7  HORAS_MES</t>
        </is>
      </c>
      <c r="D13" s="27" t="inlineStr">
        <is>
          <t>input (amarillo)</t>
        </is>
      </c>
      <c r="E13" s="27" t="inlineStr">
        <is>
          <t>Ninguno (referencia)</t>
        </is>
      </c>
      <c r="F13" s="27" t="inlineStr">
        <is>
          <t>Convierte GBh a GB equivalente. Temporal usa 744 h para GB incluidos del plan.</t>
        </is>
      </c>
      <c r="G13" s="27" t="inlineStr">
        <is>
          <t>GB equiv. = Active GBh / Horas mes. No entra en Actions ni en el USD de storage.</t>
        </is>
      </c>
    </row>
    <row r="14" ht="42" customHeight="1">
      <c r="A14" s="3" t="inlineStr">
        <is>
          <t>Namespace Retention Period (días)</t>
        </is>
      </c>
      <c r="B14" s="3" t="inlineStr">
        <is>
          <t>Tarifas</t>
        </is>
      </c>
      <c r="C14" s="3" t="inlineStr">
        <is>
          <t>B8  RETENTION_DIAS</t>
        </is>
      </c>
      <c r="D14" s="3" t="inlineStr">
        <is>
          <t>input (amarillo)</t>
        </is>
      </c>
      <c r="E14" s="3" t="inlineStr">
        <is>
          <t>Solo Retained Storage</t>
        </is>
      </c>
      <c r="F14" s="3" t="inlineStr">
        <is>
          <t>Días que el namespace guarda el Event History tras close. Un valor para todos los types. Máx. 90.</t>
        </is>
      </c>
      <c r="G14" s="3" t="inlineStr">
        <is>
          <t>Retained GBh = exec × Event History GB × RETENTION_DIAS × 24. No entra en Active.</t>
        </is>
      </c>
    </row>
    <row r="15" ht="42" customHeight="1">
      <c r="A15" s="27" t="inlineStr">
        <is>
          <t>% certificación</t>
        </is>
      </c>
      <c r="B15" s="27" t="inlineStr">
        <is>
          <t>Tarifas</t>
        </is>
      </c>
      <c r="C15" s="27" t="inlineStr">
        <is>
          <t>B9  PCT_CERT</t>
        </is>
      </c>
      <c r="D15" s="27" t="inlineStr">
        <is>
          <t>input (amarillo)</t>
        </is>
      </c>
      <c r="E15" s="27" t="inlineStr">
        <is>
          <t>Costo cuenta</t>
        </is>
      </c>
      <c r="F15" s="27" t="inlineStr">
        <is>
          <t>Atajo de volumen sobre el TOTAL de producción.</t>
        </is>
      </c>
      <c r="G15" s="27" t="inlineStr">
        <is>
          <t>USD cert = C12 × PCT_CERT / 100. Asume mismo mix, Duration, Retention y retries.</t>
        </is>
      </c>
    </row>
    <row r="16" ht="42" customHeight="1">
      <c r="A16" s="3" t="inlineStr">
        <is>
          <t>% desarrollo</t>
        </is>
      </c>
      <c r="B16" s="3" t="inlineStr">
        <is>
          <t>Tarifas</t>
        </is>
      </c>
      <c r="C16" s="3" t="inlineStr">
        <is>
          <t>B10  PCT_DEV</t>
        </is>
      </c>
      <c r="D16" s="3" t="inlineStr">
        <is>
          <t>input (amarillo)</t>
        </is>
      </c>
      <c r="E16" s="3" t="inlineStr">
        <is>
          <t>Costo cuenta</t>
        </is>
      </c>
      <c r="F16" s="3" t="inlineStr">
        <is>
          <t>Atajo de volumen sobre el TOTAL de producción.</t>
        </is>
      </c>
      <c r="G16" s="3" t="inlineStr">
        <is>
          <t>USD dev = C12 × PCT_DEV / 100. TOTAL cuenta = prod + cert + dev.</t>
        </is>
      </c>
    </row>
    <row r="17" ht="42" customHeight="1">
      <c r="A17" s="27" t="inlineStr">
        <is>
          <t>Nombre (type)</t>
        </is>
      </c>
      <c r="B17" s="27" t="inlineStr">
        <is>
          <t>Workflows</t>
        </is>
      </c>
      <c r="C17" s="27" t="inlineStr">
        <is>
          <t>A</t>
        </is>
      </c>
      <c r="D17" s="27" t="inlineStr">
        <is>
          <t>input (amarillo)</t>
        </is>
      </c>
      <c r="E17" s="27" t="inlineStr">
        <is>
          <t>Todos</t>
        </is>
      </c>
      <c r="F17" s="27" t="inlineStr">
        <is>
          <t>Workflow Type. Debe ser único: Pasos se agrupa con SUMIF por este nombre.</t>
        </is>
      </c>
      <c r="G17" s="27" t="inlineStr">
        <is>
          <t>Si se duplica el nombre, los pasos se suman dos veces. Resumen B16 cuenta duplicados.</t>
        </is>
      </c>
    </row>
    <row r="18" ht="42" customHeight="1">
      <c r="A18" s="3" t="inlineStr">
        <is>
          <t>Ejecuciones / mes</t>
        </is>
      </c>
      <c r="B18" s="3" t="inlineStr">
        <is>
          <t>Workflows</t>
        </is>
      </c>
      <c r="C18" s="3" t="inlineStr">
        <is>
          <t>B</t>
        </is>
      </c>
      <c r="D18" s="3" t="inlineStr">
        <is>
          <t>input (amarillo)</t>
        </is>
      </c>
      <c r="E18" s="3" t="inlineStr">
        <is>
          <t>Actions + ambos storage</t>
        </is>
      </c>
      <c r="F18" s="3" t="inlineStr">
        <is>
          <t>Cuántas veces corre este type en el mes calendario.</t>
        </is>
      </c>
      <c r="G18" s="3" t="inlineStr">
        <is>
          <t>Multiplica Actions/exec, Active y Retained.</t>
        </is>
      </c>
    </row>
    <row r="19" ht="42" customHeight="1">
      <c r="A19" s="27" t="inlineStr">
        <is>
          <t>Origen</t>
        </is>
      </c>
      <c r="B19" s="27" t="inlineStr">
        <is>
          <t>Workflows</t>
        </is>
      </c>
      <c r="C19" s="27" t="inlineStr">
        <is>
          <t>C</t>
        </is>
      </c>
      <c r="D19" s="27" t="inlineStr">
        <is>
          <t>input (amarillo)</t>
        </is>
      </c>
      <c r="E19" s="27" t="inlineStr">
        <is>
          <t>Actions</t>
        </is>
      </c>
      <c r="F19" s="27" t="inlineStr">
        <is>
          <t>Cómo arranca: Cliente, Signal-With-Start, Schedule o Ninguno.</t>
        </is>
      </c>
      <c r="G19" s="27" t="inlineStr">
        <is>
          <t>Desplegable de Listas. Vacío o Cliente = 1 Action de start.</t>
        </is>
      </c>
    </row>
    <row r="20" ht="42" customHeight="1">
      <c r="A20" s="3" t="inlineStr">
        <is>
          <t>Actions origen</t>
        </is>
      </c>
      <c r="B20" s="3" t="inlineStr">
        <is>
          <t>Workflows</t>
        </is>
      </c>
      <c r="C20" s="3" t="inlineStr">
        <is>
          <t>D</t>
        </is>
      </c>
      <c r="D20" s="3" t="inlineStr">
        <is>
          <t>fórmula (verde)</t>
        </is>
      </c>
      <c r="E20" s="3" t="inlineStr">
        <is>
          <t>Actions</t>
        </is>
      </c>
      <c r="F20" s="3" t="inlineStr">
        <is>
          <t>Actions del arranque oficial.</t>
        </is>
      </c>
      <c r="G20" s="3" t="inlineStr">
        <is>
          <t>Cliente o Signal-With-Start = 1. Schedule = 3 (incluye start). Ninguno = 0.</t>
        </is>
      </c>
    </row>
    <row r="21" ht="42" customHeight="1">
      <c r="A21" s="27" t="inlineStr">
        <is>
          <t>Workflow Execution Duration (h)</t>
        </is>
      </c>
      <c r="B21" s="27" t="inlineStr">
        <is>
          <t>Workflows</t>
        </is>
      </c>
      <c r="C21" s="27" t="inlineStr">
        <is>
          <t>E</t>
        </is>
      </c>
      <c r="D21" s="27" t="inlineStr">
        <is>
          <t>input (amarillo)</t>
        </is>
      </c>
      <c r="E21" s="27" t="inlineStr">
        <is>
          <t>Solo Active Storage</t>
        </is>
      </c>
      <c r="F21" s="27" t="inlineStr">
        <is>
          <t>Horas que la ejecución está Running (open).</t>
        </is>
      </c>
      <c r="G21" s="27" t="inlineStr">
        <is>
          <t>Active GBh = exec × Event History GB × Duration. No entra en Retained.</t>
        </is>
      </c>
    </row>
    <row r="22" ht="42" customHeight="1">
      <c r="A22" s="3" t="inlineStr">
        <is>
          <t>Payload StartWorkflow (KB)</t>
        </is>
      </c>
      <c r="B22" s="3" t="inlineStr">
        <is>
          <t>Workflows</t>
        </is>
      </c>
      <c r="C22" s="3" t="inlineStr">
        <is>
          <t>F</t>
        </is>
      </c>
      <c r="D22" s="3" t="inlineStr">
        <is>
          <t>input (amarillo)</t>
        </is>
      </c>
      <c r="E22" s="3" t="inlineStr">
        <is>
          <t>Ambos storage</t>
        </is>
      </c>
      <c r="F22" s="3" t="inlineStr">
        <is>
          <t>Tamaño del input / mensaje de StartWorkflow.</t>
        </is>
      </c>
      <c r="G22" s="3" t="inlineStr">
        <is>
          <t>Se suma al Event History de cada ejecución.</t>
        </is>
      </c>
    </row>
    <row r="23" ht="42" customHeight="1">
      <c r="A23" s="27" t="inlineStr">
        <is>
          <t>Event History (KB)</t>
        </is>
      </c>
      <c r="B23" s="27" t="inlineStr">
        <is>
          <t>Workflows</t>
        </is>
      </c>
      <c r="C23" s="27" t="inlineStr">
        <is>
          <t>G</t>
        </is>
      </c>
      <c r="D23" s="27" t="inlineStr">
        <is>
          <t>fórmula (verde)</t>
        </is>
      </c>
      <c r="E23" s="27" t="inlineStr">
        <is>
          <t>Ambos storage</t>
        </is>
      </c>
      <c r="F23" s="27" t="inlineStr">
        <is>
          <t>Tamaño estimado del log persistido de UNA ejecución. No se escribe.</t>
        </is>
      </c>
      <c r="G23" s="27" t="inlineStr">
        <is>
          <t>F + SUMIF(Pasos Event History del mismo type). GB = KB / 1.000.000.</t>
        </is>
      </c>
    </row>
    <row r="24" ht="42" customHeight="1">
      <c r="A24" s="3" t="inlineStr">
        <is>
          <t>Actions/exec (pasos)</t>
        </is>
      </c>
      <c r="B24" s="3" t="inlineStr">
        <is>
          <t>Workflows</t>
        </is>
      </c>
      <c r="C24" s="3" t="inlineStr">
        <is>
          <t>H</t>
        </is>
      </c>
      <c r="D24" s="3" t="inlineStr">
        <is>
          <t>fórmula (verde)</t>
        </is>
      </c>
      <c r="E24" s="3" t="inlineStr">
        <is>
          <t>Actions</t>
        </is>
      </c>
      <c r="F24" s="3" t="inlineStr">
        <is>
          <t>Actions de los pasos, sin el start.</t>
        </is>
      </c>
      <c r="G24" s="3" t="inlineStr">
        <is>
          <t>SUMIF de Pasos J para este nombre.</t>
        </is>
      </c>
    </row>
    <row r="25" ht="42" customHeight="1">
      <c r="A25" s="27" t="inlineStr">
        <is>
          <t>Actions / mes</t>
        </is>
      </c>
      <c r="B25" s="27" t="inlineStr">
        <is>
          <t>Workflows</t>
        </is>
      </c>
      <c r="C25" s="27" t="inlineStr">
        <is>
          <t>I</t>
        </is>
      </c>
      <c r="D25" s="27" t="inlineStr">
        <is>
          <t>fórmula (verde)</t>
        </is>
      </c>
      <c r="E25" s="27" t="inlineStr">
        <is>
          <t>Actions</t>
        </is>
      </c>
      <c r="F25" s="27" t="inlineStr">
        <is>
          <t>Actions totales del type en el mes.</t>
        </is>
      </c>
      <c r="G25" s="27" t="inlineStr">
        <is>
          <t>Ejecuciones × (Actions origen + Actions/exec pasos).</t>
        </is>
      </c>
    </row>
    <row r="26" ht="42" customHeight="1">
      <c r="A26" s="3" t="inlineStr">
        <is>
          <t>Active Storage (GBh)</t>
        </is>
      </c>
      <c r="B26" s="3" t="inlineStr">
        <is>
          <t>Workflows</t>
        </is>
      </c>
      <c r="C26" s="3" t="inlineStr">
        <is>
          <t>J</t>
        </is>
      </c>
      <c r="D26" s="3" t="inlineStr">
        <is>
          <t>fórmula (verde)</t>
        </is>
      </c>
      <c r="E26" s="3" t="inlineStr">
        <is>
          <t>Active Storage</t>
        </is>
      </c>
      <c r="F26" s="3" t="inlineStr">
        <is>
          <t>GB-hora mientras está open.</t>
        </is>
      </c>
      <c r="G26" s="3" t="inlineStr">
        <is>
          <t>exec × (Event History KB / 1e6) × Duration.</t>
        </is>
      </c>
    </row>
    <row r="27" ht="42" customHeight="1">
      <c r="A27" s="27" t="inlineStr">
        <is>
          <t>Retained Storage (GBh)</t>
        </is>
      </c>
      <c r="B27" s="27" t="inlineStr">
        <is>
          <t>Workflows</t>
        </is>
      </c>
      <c r="C27" s="27" t="inlineStr">
        <is>
          <t>K</t>
        </is>
      </c>
      <c r="D27" s="27" t="inlineStr">
        <is>
          <t>fórmula (verde)</t>
        </is>
      </c>
      <c r="E27" s="27" t="inlineStr">
        <is>
          <t>Retained Storage</t>
        </is>
      </c>
      <c r="F27" s="27" t="inlineStr">
        <is>
          <t>GB-hora tras close, régimen mensual.</t>
        </is>
      </c>
      <c r="G27" s="27" t="inlineStr">
        <is>
          <t>exec × (Event History KB / 1e6) × RETENTION_DIAS × 24.</t>
        </is>
      </c>
    </row>
    <row r="28" ht="42" customHeight="1">
      <c r="A28" s="3" t="inlineStr">
        <is>
          <t>USD Actions / Active / Retained / total</t>
        </is>
      </c>
      <c r="B28" s="3" t="inlineStr">
        <is>
          <t>Workflows</t>
        </is>
      </c>
      <c r="C28" s="3" t="inlineStr">
        <is>
          <t>L–O</t>
        </is>
      </c>
      <c r="D28" s="3" t="inlineStr">
        <is>
          <t>fórmula (verde)</t>
        </is>
      </c>
      <c r="E28" s="3" t="inlineStr">
        <is>
          <t>Costo</t>
        </is>
      </c>
      <c r="F28" s="3" t="inlineStr">
        <is>
          <t>Desglose USD del type.</t>
        </is>
      </c>
      <c r="G28" s="3" t="inlineStr">
        <is>
          <t>I/1e6×RATE_ACTIONS; J×RATE_ACTIVE; K×RATE_RETAINED; suma.</t>
        </is>
      </c>
    </row>
    <row r="29" ht="42" customHeight="1">
      <c r="A29" s="27" t="inlineStr">
        <is>
          <t>Workflow (type)</t>
        </is>
      </c>
      <c r="B29" s="27" t="inlineStr">
        <is>
          <t>Pasos</t>
        </is>
      </c>
      <c r="C29" s="27" t="inlineStr">
        <is>
          <t>A</t>
        </is>
      </c>
      <c r="D29" s="27" t="inlineStr">
        <is>
          <t>input (amarillo)</t>
        </is>
      </c>
      <c r="E29" s="27" t="inlineStr">
        <is>
          <t>Todos</t>
        </is>
      </c>
      <c r="F29" s="27" t="inlineStr">
        <is>
          <t>Debe coincidir exactamente con Workflows!A.</t>
        </is>
      </c>
      <c r="G29" s="27" t="inlineStr">
        <is>
          <t>Desplegable. SUMIF usa este texto.</t>
        </is>
      </c>
    </row>
    <row r="30" ht="42" customHeight="1">
      <c r="A30" s="3" t="inlineStr">
        <is>
          <t>Tipo de paso</t>
        </is>
      </c>
      <c r="B30" s="3" t="inlineStr">
        <is>
          <t>Pasos</t>
        </is>
      </c>
      <c r="C30" s="3" t="inlineStr">
        <is>
          <t>B</t>
        </is>
      </c>
      <c r="D30" s="3" t="inlineStr">
        <is>
          <t>input (amarillo)</t>
        </is>
      </c>
      <c r="E30" s="3" t="inlineStr">
        <is>
          <t>Actions + storage</t>
        </is>
      </c>
      <c r="F30" s="3" t="inlineStr">
        <is>
          <t>Activity, Timer, Signal, Query, etc.</t>
        </is>
      </c>
      <c r="G30" s="3" t="inlineStr">
        <is>
          <t>Desplegable. Define Actions unitarias y copias de Payload en Event History.</t>
        </is>
      </c>
    </row>
    <row r="31" ht="42" customHeight="1">
      <c r="A31" s="27" t="inlineStr">
        <is>
          <t>Nombre del paso</t>
        </is>
      </c>
      <c r="B31" s="27" t="inlineStr">
        <is>
          <t>Pasos</t>
        </is>
      </c>
      <c r="C31" s="27" t="inlineStr">
        <is>
          <t>C</t>
        </is>
      </c>
      <c r="D31" s="27" t="inlineStr">
        <is>
          <t>input (amarillo)</t>
        </is>
      </c>
      <c r="E31" s="27" t="inlineStr">
        <is>
          <t>Ninguno</t>
        </is>
      </c>
      <c r="F31" s="27" t="inlineStr">
        <is>
          <t>Etiqueta humana del paso.</t>
        </is>
      </c>
      <c r="G31" s="27" t="inlineStr">
        <is>
          <t>No entra en fórmulas.</t>
        </is>
      </c>
    </row>
    <row r="32" ht="42" customHeight="1">
      <c r="A32" s="3" t="inlineStr">
        <is>
          <t>Veces si el camino ocurre</t>
        </is>
      </c>
      <c r="B32" s="3" t="inlineStr">
        <is>
          <t>Pasos</t>
        </is>
      </c>
      <c r="C32" s="3" t="inlineStr">
        <is>
          <t>D</t>
        </is>
      </c>
      <c r="D32" s="3" t="inlineStr">
        <is>
          <t>input (amarillo)</t>
        </is>
      </c>
      <c r="E32" s="3" t="inlineStr">
        <is>
          <t>Actions + storage</t>
        </is>
      </c>
      <c r="F32" s="3" t="inlineStr">
        <is>
          <t>Cuántas veces se dispara el paso cuando el camino ocurre.</t>
        </is>
      </c>
      <c r="G32" s="3" t="inlineStr">
        <is>
          <t>Se multiplica por % y por unidad o Payload.</t>
        </is>
      </c>
    </row>
    <row r="33" ht="42" customHeight="1">
      <c r="A33" s="27" t="inlineStr">
        <is>
          <t>% del flujo</t>
        </is>
      </c>
      <c r="B33" s="27" t="inlineStr">
        <is>
          <t>Pasos</t>
        </is>
      </c>
      <c r="C33" s="27" t="inlineStr">
        <is>
          <t>E</t>
        </is>
      </c>
      <c r="D33" s="27" t="inlineStr">
        <is>
          <t>input (amarillo)</t>
        </is>
      </c>
      <c r="E33" s="27" t="inlineStr">
        <is>
          <t>Actions + storage</t>
        </is>
      </c>
      <c r="F33" s="27" t="inlineStr">
        <is>
          <t>Porcentaje de ejecuciones que toman ese camino. 0–100.</t>
        </is>
      </c>
      <c r="G33" s="27" t="inlineStr">
        <is>
          <t>veces × (min(100,%)/100).</t>
        </is>
      </c>
    </row>
    <row r="34" ht="42" customHeight="1">
      <c r="A34" s="3" t="inlineStr">
        <is>
          <t>Retries avg (solo Activity)</t>
        </is>
      </c>
      <c r="B34" s="3" t="inlineStr">
        <is>
          <t>Pasos</t>
        </is>
      </c>
      <c r="C34" s="3" t="inlineStr">
        <is>
          <t>F</t>
        </is>
      </c>
      <c r="D34" s="3" t="inlineStr">
        <is>
          <t>input (amarillo)</t>
        </is>
      </c>
      <c r="E34" s="3" t="inlineStr">
        <is>
          <t>Actions + Event History</t>
        </is>
      </c>
      <c r="F34" s="3" t="inlineStr">
        <is>
          <t>Reintentos promedio de la Activity.</t>
        </is>
      </c>
      <c r="G34" s="3" t="inlineStr">
        <is>
          <t>Actions: +retries. Event History Activity: ×(1+retries). Ignorado en otros tipos.</t>
        </is>
      </c>
    </row>
    <row r="35" ht="42" customHeight="1">
      <c r="A35" s="27" t="inlineStr">
        <is>
          <t>Heartbeats avg (solo Activity)</t>
        </is>
      </c>
      <c r="B35" s="27" t="inlineStr">
        <is>
          <t>Pasos</t>
        </is>
      </c>
      <c r="C35" s="27" t="inlineStr">
        <is>
          <t>G</t>
        </is>
      </c>
      <c r="D35" s="27" t="inlineStr">
        <is>
          <t>input (amarillo)</t>
        </is>
      </c>
      <c r="E35" s="27" t="inlineStr">
        <is>
          <t>Solo Actions</t>
        </is>
      </c>
      <c r="F35" s="27" t="inlineStr">
        <is>
          <t>Heartbeats que llegan al server (SDK ~80% del Heartbeat Timeout).</t>
        </is>
      </c>
      <c r="G35" s="27" t="inlineStr">
        <is>
          <t>Suma Actions. No se suma al Event History (el payload del HB no se modela).</t>
        </is>
      </c>
    </row>
    <row r="36" ht="42" customHeight="1">
      <c r="A36" s="3" t="inlineStr">
        <is>
          <t>Payload del mensaje (KB)</t>
        </is>
      </c>
      <c r="B36" s="3" t="inlineStr">
        <is>
          <t>Pasos</t>
        </is>
      </c>
      <c r="C36" s="3" t="inlineStr">
        <is>
          <t>H</t>
        </is>
      </c>
      <c r="D36" s="3" t="inlineStr">
        <is>
          <t>input (amarillo)</t>
        </is>
      </c>
      <c r="E36" s="3" t="inlineStr">
        <is>
          <t>Ambos storage</t>
        </is>
      </c>
      <c r="F36" s="3" t="inlineStr">
        <is>
          <t>Tamaño del mensaje que fluye en ese paso.</t>
        </is>
      </c>
      <c r="G36" s="3" t="inlineStr">
        <is>
          <t>Event History del paso = veces × % × Payload × copias × (1+retries si Activity).</t>
        </is>
      </c>
    </row>
    <row r="37" ht="42" customHeight="1">
      <c r="A37" s="27" t="inlineStr">
        <is>
          <t>Unidad oficial</t>
        </is>
      </c>
      <c r="B37" s="27" t="inlineStr">
        <is>
          <t>Pasos</t>
        </is>
      </c>
      <c r="C37" s="27" t="inlineStr">
        <is>
          <t>I</t>
        </is>
      </c>
      <c r="D37" s="27" t="inlineStr">
        <is>
          <t>fórmula (verde)</t>
        </is>
      </c>
      <c r="E37" s="27" t="inlineStr">
        <is>
          <t>Actions</t>
        </is>
      </c>
      <c r="F37" s="27" t="inlineStr">
        <is>
          <t>Actions por ocurrencia según catálogo oficial.</t>
        </is>
      </c>
      <c r="G37" s="27" t="inlineStr">
        <is>
          <t>VLOOKUP del tipo en Listas C.</t>
        </is>
      </c>
    </row>
    <row r="38" ht="42" customHeight="1">
      <c r="A38" s="3" t="inlineStr">
        <is>
          <t>Actions / ejecución</t>
        </is>
      </c>
      <c r="B38" s="3" t="inlineStr">
        <is>
          <t>Pasos</t>
        </is>
      </c>
      <c r="C38" s="3" t="inlineStr">
        <is>
          <t>J</t>
        </is>
      </c>
      <c r="D38" s="3" t="inlineStr">
        <is>
          <t>fórmula (verde)</t>
        </is>
      </c>
      <c r="E38" s="3" t="inlineStr">
        <is>
          <t>Actions</t>
        </is>
      </c>
      <c r="F38" s="3" t="inlineStr">
        <is>
          <t>Actions esperadas de este paso por ejecución del type.</t>
        </is>
      </c>
      <c r="G38" s="3" t="inlineStr">
        <is>
          <t>Activity: veces×%×(1+retries+heartbeats). Otro: veces×%×unidad.</t>
        </is>
      </c>
    </row>
    <row r="39" ht="42" customHeight="1">
      <c r="A39" s="27" t="inlineStr">
        <is>
          <t>Event History (KB) del paso</t>
        </is>
      </c>
      <c r="B39" s="27" t="inlineStr">
        <is>
          <t>Pasos</t>
        </is>
      </c>
      <c r="C39" s="27" t="inlineStr">
        <is>
          <t>K</t>
        </is>
      </c>
      <c r="D39" s="27" t="inlineStr">
        <is>
          <t>fórmula (verde)</t>
        </is>
      </c>
      <c r="E39" s="27" t="inlineStr">
        <is>
          <t>Ambos storage</t>
        </is>
      </c>
      <c r="F39" s="27" t="inlineStr">
        <is>
          <t>Aporte de este paso al Event History de una ejecución.</t>
        </is>
      </c>
      <c r="G39" s="27" t="inlineStr">
        <is>
          <t>veces×%×Payload×copias (Listas D). Query y Timer copias=0. Activity ×2 y ×(1+retries).</t>
        </is>
      </c>
    </row>
    <row r="40" ht="42" customHeight="1">
      <c r="A40" s="3" t="inlineStr">
        <is>
          <t>Origen / Tipo / copias</t>
        </is>
      </c>
      <c r="B40" s="3" t="inlineStr">
        <is>
          <t>Listas</t>
        </is>
      </c>
      <c r="C40" s="3" t="inlineStr">
        <is>
          <t>A–D</t>
        </is>
      </c>
      <c r="D40" s="3" t="inlineStr">
        <is>
          <t>referencia</t>
        </is>
      </c>
      <c r="E40" s="3" t="inlineStr">
        <is>
          <t>Lookups</t>
        </is>
      </c>
      <c r="F40" s="3" t="inlineStr">
        <is>
          <t>Tablas de los desplegables.</t>
        </is>
      </c>
      <c r="G40" s="3" t="inlineStr">
        <is>
          <t>C = Actions unitarias. D = copias del Payload en Event History (Activity=2, Query/Timer=0).</t>
        </is>
      </c>
    </row>
    <row r="41" ht="42" customHeight="1">
      <c r="A41" s="27" t="inlineStr">
        <is>
          <t>Tipos de workflow con nombre</t>
        </is>
      </c>
      <c r="B41" s="27" t="inlineStr">
        <is>
          <t>Resumen</t>
        </is>
      </c>
      <c r="C41" s="27" t="inlineStr">
        <is>
          <t>B4</t>
        </is>
      </c>
      <c r="D41" s="27" t="inlineStr">
        <is>
          <t>fórmula (verde)</t>
        </is>
      </c>
      <c r="E41" s="27" t="inlineStr">
        <is>
          <t>Control</t>
        </is>
      </c>
      <c r="F41" s="27" t="inlineStr">
        <is>
          <t>Cuántas filas de Workflows tienen nombre.</t>
        </is>
      </c>
      <c r="G41" s="27" t="inlineStr">
        <is>
          <t>COUNTA(Workflows!A).</t>
        </is>
      </c>
    </row>
    <row r="42" ht="42" customHeight="1">
      <c r="A42" s="3" t="inlineStr">
        <is>
          <t>Ejecuciones / mes</t>
        </is>
      </c>
      <c r="B42" s="3" t="inlineStr">
        <is>
          <t>Resumen</t>
        </is>
      </c>
      <c r="C42" s="3" t="inlineStr">
        <is>
          <t>B5</t>
        </is>
      </c>
      <c r="D42" s="3" t="inlineStr">
        <is>
          <t>fórmula (verde)</t>
        </is>
      </c>
      <c r="E42" s="3" t="inlineStr">
        <is>
          <t>Volumen</t>
        </is>
      </c>
      <c r="F42" s="3" t="inlineStr">
        <is>
          <t>Suma de ejecuciones con nombre.</t>
        </is>
      </c>
      <c r="G42" s="3" t="inlineStr">
        <is>
          <t>SUMIF Workflows B.</t>
        </is>
      </c>
    </row>
    <row r="43" ht="42" customHeight="1">
      <c r="A43" s="27" t="inlineStr">
        <is>
          <t>Actions / mes</t>
        </is>
      </c>
      <c r="B43" s="27" t="inlineStr">
        <is>
          <t>Resumen</t>
        </is>
      </c>
      <c r="C43" s="27" t="inlineStr">
        <is>
          <t>B6 / C6</t>
        </is>
      </c>
      <c r="D43" s="27" t="inlineStr">
        <is>
          <t>fórmula (verde)</t>
        </is>
      </c>
      <c r="E43" s="27" t="inlineStr">
        <is>
          <t>Actions</t>
        </is>
      </c>
      <c r="F43" s="27" t="inlineStr">
        <is>
          <t>Total Actions y su USD.</t>
        </is>
      </c>
      <c r="G43" s="27" t="inlineStr">
        <is>
          <t>SUMIF Workflows I. USD = B6/1e6×RATE_ACTIONS.</t>
        </is>
      </c>
    </row>
    <row r="44" ht="42" customHeight="1">
      <c r="A44" s="3" t="inlineStr">
        <is>
          <t>Active Storage (GBh)</t>
        </is>
      </c>
      <c r="B44" s="3" t="inlineStr">
        <is>
          <t>Resumen</t>
        </is>
      </c>
      <c r="C44" s="3" t="inlineStr">
        <is>
          <t>B9 / C9</t>
        </is>
      </c>
      <c r="D44" s="3" t="inlineStr">
        <is>
          <t>fórmula (verde)</t>
        </is>
      </c>
      <c r="E44" s="3" t="inlineStr">
        <is>
          <t>Active Storage</t>
        </is>
      </c>
      <c r="F44" s="3" t="inlineStr">
        <is>
          <t>Suma Active y su USD.</t>
        </is>
      </c>
      <c r="G44" s="3" t="inlineStr">
        <is>
          <t>SUMIF Workflows J × RATE_ACTIVE. Duration, no Retention.</t>
        </is>
      </c>
    </row>
    <row r="45" ht="42" customHeight="1">
      <c r="A45" s="27" t="inlineStr">
        <is>
          <t>Retained Storage (GBh)</t>
        </is>
      </c>
      <c r="B45" s="27" t="inlineStr">
        <is>
          <t>Resumen</t>
        </is>
      </c>
      <c r="C45" s="27" t="inlineStr">
        <is>
          <t>B10 / C10</t>
        </is>
      </c>
      <c r="D45" s="27" t="inlineStr">
        <is>
          <t>fórmula (verde)</t>
        </is>
      </c>
      <c r="E45" s="27" t="inlineStr">
        <is>
          <t>Retained Storage</t>
        </is>
      </c>
      <c r="F45" s="27" t="inlineStr">
        <is>
          <t>Suma Retained y su USD.</t>
        </is>
      </c>
      <c r="G45" s="27" t="inlineStr">
        <is>
          <t>SUMIF Workflows K × RATE_RETAINED. Retention, no Duration.</t>
        </is>
      </c>
    </row>
    <row r="46" ht="42" customHeight="1">
      <c r="A46" s="3" t="inlineStr">
        <is>
          <t>GB activo equivalente</t>
        </is>
      </c>
      <c r="B46" s="3" t="inlineStr">
        <is>
          <t>Resumen</t>
        </is>
      </c>
      <c r="C46" s="3" t="inlineStr">
        <is>
          <t>B11</t>
        </is>
      </c>
      <c r="D46" s="3" t="inlineStr">
        <is>
          <t>fórmula (verde)</t>
        </is>
      </c>
      <c r="E46" s="3" t="inlineStr">
        <is>
          <t>Referencia</t>
        </is>
      </c>
      <c r="F46" s="3" t="inlineStr">
        <is>
          <t>Active GBh pasado a GB con Horas/mes.</t>
        </is>
      </c>
      <c r="G46" s="3" t="inlineStr">
        <is>
          <t>B9 / HORAS_MES. No es un cobro extra.</t>
        </is>
      </c>
    </row>
    <row r="47" ht="42" customHeight="1">
      <c r="A47" s="27" t="inlineStr">
        <is>
          <t>TOTAL producción USD / mes</t>
        </is>
      </c>
      <c r="B47" s="27" t="inlineStr">
        <is>
          <t>Resumen</t>
        </is>
      </c>
      <c r="C47" s="27" t="inlineStr">
        <is>
          <t>C12</t>
        </is>
      </c>
      <c r="D47" s="27" t="inlineStr">
        <is>
          <t>fórmula (verde)</t>
        </is>
      </c>
      <c r="E47" s="27" t="inlineStr">
        <is>
          <t>Costo prod</t>
        </is>
      </c>
      <c r="F47" s="27" t="inlineStr">
        <is>
          <t>Actions + Active + Retained del detalle ingresado (producción).</t>
        </is>
      </c>
      <c r="G47" s="27" t="inlineStr">
        <is>
          <t>C6+C9+C10.</t>
        </is>
      </c>
    </row>
    <row r="48" ht="42" customHeight="1">
      <c r="A48" s="3" t="inlineStr">
        <is>
          <t>Certificación</t>
        </is>
      </c>
      <c r="B48" s="3" t="inlineStr">
        <is>
          <t>Resumen</t>
        </is>
      </c>
      <c r="C48" s="3" t="inlineStr">
        <is>
          <t>C13</t>
        </is>
      </c>
      <c r="D48" s="3" t="inlineStr">
        <is>
          <t>fórmula (verde)</t>
        </is>
      </c>
      <c r="E48" s="3" t="inlineStr">
        <is>
          <t>Costo cuenta</t>
        </is>
      </c>
      <c r="F48" s="3" t="inlineStr">
        <is>
          <t>% de producción.</t>
        </is>
      </c>
      <c r="G48" s="3" t="inlineStr">
        <is>
          <t>C12 × PCT_CERT / 100.</t>
        </is>
      </c>
    </row>
    <row r="49" ht="42" customHeight="1">
      <c r="A49" s="27" t="inlineStr">
        <is>
          <t>Desarrollo</t>
        </is>
      </c>
      <c r="B49" s="27" t="inlineStr">
        <is>
          <t>Resumen</t>
        </is>
      </c>
      <c r="C49" s="27" t="inlineStr">
        <is>
          <t>C14</t>
        </is>
      </c>
      <c r="D49" s="27" t="inlineStr">
        <is>
          <t>fórmula (verde)</t>
        </is>
      </c>
      <c r="E49" s="27" t="inlineStr">
        <is>
          <t>Costo cuenta</t>
        </is>
      </c>
      <c r="F49" s="27" t="inlineStr">
        <is>
          <t>% de producción.</t>
        </is>
      </c>
      <c r="G49" s="27" t="inlineStr">
        <is>
          <t>C12 × PCT_DEV / 100.</t>
        </is>
      </c>
    </row>
    <row r="50" ht="42" customHeight="1">
      <c r="A50" s="3" t="inlineStr">
        <is>
          <t>TOTAL cuenta USD / mes</t>
        </is>
      </c>
      <c r="B50" s="3" t="inlineStr">
        <is>
          <t>Resumen</t>
        </is>
      </c>
      <c r="C50" s="3" t="inlineStr">
        <is>
          <t>C15</t>
        </is>
      </c>
      <c r="D50" s="3" t="inlineStr">
        <is>
          <t>fórmula (verde)</t>
        </is>
      </c>
      <c r="E50" s="3" t="inlineStr">
        <is>
          <t>Costo</t>
        </is>
      </c>
      <c r="F50" s="3" t="inlineStr">
        <is>
          <t>Producción + certificación + desarrollo.</t>
        </is>
      </c>
      <c r="G50" s="3" t="inlineStr">
        <is>
          <t>C12+C13+C14. No incluye Support, Export, Fairness ni TRU ociosos.</t>
        </is>
      </c>
    </row>
    <row r="51" ht="42" customHeight="1">
      <c r="A51" s="27" t="inlineStr">
        <is>
          <t>Nombres duplicados</t>
        </is>
      </c>
      <c r="B51" s="27" t="inlineStr">
        <is>
          <t>Resumen</t>
        </is>
      </c>
      <c r="C51" s="27" t="inlineStr">
        <is>
          <t>B16</t>
        </is>
      </c>
      <c r="D51" s="27" t="inlineStr">
        <is>
          <t>fórmula (verde)</t>
        </is>
      </c>
      <c r="E51" s="27" t="inlineStr">
        <is>
          <t>Control</t>
        </is>
      </c>
      <c r="F51" s="27" t="inlineStr">
        <is>
          <t>0 = OK. Distinto de 0 = SUMIF doble cuenta Pasos.</t>
        </is>
      </c>
      <c r="G51" s="27" t="inlineStr">
        <is>
          <t>COUNTIF sobre Workflows A.</t>
        </is>
      </c>
    </row>
    <row r="52" ht="42" customHeight="1">
      <c r="A52" s="3" t="inlineStr">
        <is>
          <t>Catálogo Actions</t>
        </is>
      </c>
      <c r="B52" s="3" t="inlineStr">
        <is>
          <t>Catalogo</t>
        </is>
      </c>
      <c r="C52" s="3" t="inlineStr">
        <is>
          <t>A–D</t>
        </is>
      </c>
      <c r="D52" s="3" t="inlineStr">
        <is>
          <t>referencia</t>
        </is>
      </c>
      <c r="E52" s="3" t="inlineStr">
        <is>
          <t>Actions</t>
        </is>
      </c>
      <c r="F52" s="3" t="inlineStr">
        <is>
          <t>Nombres oficiales de usage. No es input.</t>
        </is>
      </c>
      <c r="G52" s="3" t="inlineStr">
        <is>
          <t>docs.temporal.io/cloud/actions</t>
        </is>
      </c>
    </row>
    <row r="53" ht="42" customHeight="1">
      <c r="A53" s="27" t="inlineStr">
        <is>
          <t>Amarillo</t>
        </is>
      </c>
      <c r="B53" s="27" t="inlineStr">
        <is>
          <t>Todas</t>
        </is>
      </c>
      <c r="C53" s="27" t="inlineStr">
        <is>
          <t>—</t>
        </is>
      </c>
      <c r="D53" s="27" t="inlineStr">
        <is>
          <t>input (amarillo)</t>
        </is>
      </c>
      <c r="E53" s="27" t="inlineStr">
        <is>
          <t>—</t>
        </is>
      </c>
      <c r="F53" s="27" t="inlineStr">
        <is>
          <t>Celda editable.</t>
        </is>
      </c>
      <c r="G53" s="27" t="inlineStr">
        <is>
          <t>No pongas fórmulas en amarillo.</t>
        </is>
      </c>
    </row>
    <row r="54" ht="42" customHeight="1">
      <c r="A54" s="3" t="inlineStr">
        <is>
          <t>Verde</t>
        </is>
      </c>
      <c r="B54" s="3" t="inlineStr">
        <is>
          <t>Todas</t>
        </is>
      </c>
      <c r="C54" s="3" t="inlineStr">
        <is>
          <t>—</t>
        </is>
      </c>
      <c r="D54" s="3" t="inlineStr">
        <is>
          <t>fórmula (verde)</t>
        </is>
      </c>
      <c r="E54" s="3" t="inlineStr">
        <is>
          <t>—</t>
        </is>
      </c>
      <c r="F54" s="3" t="inlineStr">
        <is>
          <t>Celda calculada.</t>
        </is>
      </c>
      <c r="G54" s="3" t="inlineStr">
        <is>
          <t>No editar. Se recalcula al abrir (fullCalcOnLoad).</t>
        </is>
      </c>
    </row>
    <row r="56">
      <c r="A56" s="7" t="inlineStr">
        <is>
          <t>Fuentes: https://docs.temporal.io/cloud/actions  y  https://docs.temporal.io/cloud/pricing  ·  Estimado de régimen, no la factura (±5% metering). Ver tambien explicacion-excel.md</t>
        </is>
      </c>
    </row>
  </sheetData>
  <autoFilter ref="A9:G54"/>
  <mergeCells count="7">
    <mergeCell ref="A1:G1"/>
    <mergeCell ref="A56:G56"/>
    <mergeCell ref="B5:G5"/>
    <mergeCell ref="A3:G3"/>
    <mergeCell ref="B4:G4"/>
    <mergeCell ref="B7:G7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ludhara-tech</dc:creator>
  <dc:title>Calculadora Temporal Cloud</dc:title>
  <dcterms:created xsi:type="dcterms:W3CDTF">2026-10-29T04:23:15Z</dcterms:created>
  <dcterms:modified xsi:type="dcterms:W3CDTF">2026-10-29T04:23:15Z</dcterms:modified>
</cp:coreProperties>
</file>