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rifas" sheetId="1" state="visible" r:id="rId1"/>
    <sheet name="Resumen" sheetId="2" state="visible" r:id="rId2"/>
    <sheet name="Listas" sheetId="3" state="visible" r:id="rId3"/>
    <sheet name="Workflows" sheetId="4" state="visible" r:id="rId4"/>
    <sheet name="Pasos" sheetId="5" state="visible" r:id="rId5"/>
    <sheet name="Catalogo Actions" sheetId="6" state="visible" r:id="rId6"/>
  </sheets>
  <definedNames>
    <definedName name="RATE_ACTIONS">Tarifas!$B$4</definedName>
    <definedName name="RATE_ACTIVE">Tarifas!$B$5</definedName>
    <definedName name="RATE_RETAINED">Tarifas!$B$6</definedName>
    <definedName name="HORAS_MES">Tarifas!$B$7</definedName>
    <definedName name="ORIGENES">Listas!$A$2:$A$5</definedName>
    <definedName name="TIPOS">Listas!$B$2:$B$13</definedName>
    <definedName name="TIPO_UNIDAD">Listas!$B$2:$C$13</definedName>
    <definedName name="WF_NAMES">Workflows!$A$2:$A$21</definedName>
    <definedName name="_xlnm._FilterDatabase" localSheetId="3" hidden="1">'Workflows'!$A$1:$O$21</definedName>
    <definedName name="_xlnm._FilterDatabase" localSheetId="4" hidden="1">'Pasos'!$A$1:$I$151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0"/>
    <numFmt numFmtId="165" formatCode="#,##0.000"/>
    <numFmt numFmtId="166" formatCode="&quot;$&quot;#,##0.00"/>
    <numFmt numFmtId="167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1D2939"/>
      <sz val="10"/>
    </font>
    <font>
      <name val="Calibri"/>
      <b val="1"/>
      <color rgb="001B4F72"/>
      <sz val="12"/>
    </font>
    <font>
      <name val="Calibri"/>
      <b val="1"/>
      <sz val="11"/>
    </font>
    <font>
      <name val="Calibri"/>
      <color rgb="00155EEF"/>
      <sz val="10"/>
      <u val="single"/>
    </font>
  </fonts>
  <fills count="8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154360"/>
      </patternFill>
    </fill>
    <fill>
      <patternFill patternType="solid">
        <fgColor rgb="00F8FAFC"/>
      </patternFill>
    </fill>
    <fill>
      <patternFill patternType="solid">
        <fgColor rgb="00FFF3C4"/>
      </patternFill>
    </fill>
    <fill>
      <patternFill patternType="solid">
        <fgColor rgb="00E8F6F3"/>
      </patternFill>
    </fill>
    <fill>
      <patternFill patternType="solid">
        <fgColor rgb="00AAF0C4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3" fillId="4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center" wrapText="1"/>
    </xf>
    <xf numFmtId="1" fontId="3" fillId="6" borderId="1" applyAlignment="1" pivotButton="0" quotePrefix="0" xfId="0">
      <alignment vertical="center" wrapText="1"/>
    </xf>
    <xf numFmtId="3" fontId="3" fillId="6" borderId="1" applyAlignment="1" pivotButton="0" quotePrefix="0" xfId="0">
      <alignment vertical="center" wrapText="1"/>
    </xf>
    <xf numFmtId="4" fontId="3" fillId="6" borderId="1" applyAlignment="1" pivotButton="0" quotePrefix="0" xfId="0">
      <alignment vertical="center" wrapText="1"/>
    </xf>
    <xf numFmtId="166" fontId="3" fillId="6" borderId="1" applyAlignment="1" pivotButton="0" quotePrefix="0" xfId="0">
      <alignment vertical="center" wrapText="1"/>
    </xf>
    <xf numFmtId="165" fontId="3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  <xf numFmtId="165" fontId="5" fillId="7" borderId="1" applyAlignment="1" pivotButton="0" quotePrefix="0" xfId="0">
      <alignment vertical="center" wrapText="1"/>
    </xf>
    <xf numFmtId="166" fontId="5" fillId="7" borderId="1" applyAlignment="1" pivotButton="0" quotePrefix="0" xfId="0">
      <alignment vertical="center" wrapText="1"/>
    </xf>
    <xf numFmtId="0" fontId="3" fillId="0" borderId="0" pivotButton="0" quotePrefix="0" xfId="0"/>
    <xf numFmtId="1" fontId="3" fillId="4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3" fontId="3" fillId="5" borderId="1" applyAlignment="1" pivotButton="0" quotePrefix="0" xfId="0">
      <alignment vertical="center" wrapText="1"/>
    </xf>
    <xf numFmtId="2" fontId="3" fillId="5" borderId="1" applyAlignment="1" pivotButton="0" quotePrefix="0" xfId="0">
      <alignment vertical="center" wrapText="1"/>
    </xf>
    <xf numFmtId="1" fontId="3" fillId="5" borderId="1" applyAlignment="1" pivotButton="0" quotePrefix="0" xfId="0">
      <alignment vertical="center" wrapText="1"/>
    </xf>
    <xf numFmtId="2" fontId="3" fillId="6" borderId="1" applyAlignment="1" pivotButton="0" quotePrefix="0" xfId="0">
      <alignment vertical="center" wrapText="1"/>
    </xf>
    <xf numFmtId="167" fontId="3" fillId="6" borderId="1" applyAlignment="1" pivotButton="0" quotePrefix="0" xfId="0">
      <alignment vertical="center" wrapText="1"/>
    </xf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USD / mes por workflow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'Workflows'!O1</f>
            </strRef>
          </tx>
          <spPr>
            <a:ln>
              <a:prstDash val="solid"/>
            </a:ln>
          </spPr>
          <cat>
            <numRef>
              <f>'Workflows'!$A$2:$A$11</f>
            </numRef>
          </cat>
          <val>
            <numRef>
              <f>'Workflows'!$O$2:$O$11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docs.temporal.io/cloud/actions" TargetMode="External" Id="rId1" /><Relationship Type="http://schemas.openxmlformats.org/officeDocument/2006/relationships/hyperlink" Target="https://docs.temporal.io/cloud/pricing" TargetMode="External" Id="rId2" /></Relationships>
</file>

<file path=xl/worksheets/sheet1.xml><?xml version="1.0" encoding="utf-8"?>
<worksheet xmlns="http://schemas.openxmlformats.org/spreadsheetml/2006/main">
  <sheetPr>
    <tabColor rgb="001B4F72"/>
    <outlinePr summaryBelow="1" summaryRight="1"/>
    <pageSetUpPr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78" customWidth="1" min="3" max="3"/>
  </cols>
  <sheetData>
    <row r="1" ht="28" customHeight="1">
      <c r="A1" s="1" t="inlineStr">
        <is>
          <t>Temporal Cloud — tarifas commitment 3 años (celdas amarillas = input)</t>
        </is>
      </c>
    </row>
    <row r="3">
      <c r="A3" s="2" t="inlineStr">
        <is>
          <t>Parámetro</t>
        </is>
      </c>
      <c r="B3" s="2" t="inlineStr">
        <is>
          <t>Valor</t>
        </is>
      </c>
      <c r="C3" s="2" t="inlineStr">
        <is>
          <t>Nota</t>
        </is>
      </c>
    </row>
    <row r="4">
      <c r="A4" s="3" t="inlineStr">
        <is>
          <t>Actions ($ / millón)</t>
        </is>
      </c>
      <c r="B4" s="4" t="n">
        <v>23.16</v>
      </c>
      <c r="C4" s="3" t="inlineStr">
        <is>
          <t>Contrato. List público empieza en $50/millón.</t>
        </is>
      </c>
    </row>
    <row r="5">
      <c r="A5" s="3" t="inlineStr">
        <is>
          <t>Active Storage ($ / GB-h)</t>
        </is>
      </c>
      <c r="B5" s="4" t="n">
        <v>0.039</v>
      </c>
      <c r="C5" s="3" t="inlineStr">
        <is>
          <t>Contrato. List público $0.042/GBh.</t>
        </is>
      </c>
    </row>
    <row r="6">
      <c r="A6" s="3" t="inlineStr">
        <is>
          <t>Retained Storage ($ / GB-h)</t>
        </is>
      </c>
      <c r="B6" s="4" t="n">
        <v>0.00105</v>
      </c>
      <c r="C6" s="3" t="inlineStr">
        <is>
          <t>Igual al list público.</t>
        </is>
      </c>
    </row>
    <row r="7">
      <c r="A7" s="3" t="inlineStr">
        <is>
          <t>Horas / mes (referencia GB)</t>
        </is>
      </c>
      <c r="B7" s="4" t="n">
        <v>730</v>
      </c>
      <c r="C7" s="3" t="inlineStr">
        <is>
          <t>Temporal usa 744 h para GB incluidos del plan. No entra en Actions.</t>
        </is>
      </c>
    </row>
    <row r="9">
      <c r="A9" s="5" t="inlineStr">
        <is>
          <t>Cómo leer</t>
        </is>
      </c>
    </row>
    <row r="10" ht="20" customHeight="1">
      <c r="A10" s="6" t="inlineStr">
        <is>
          <t>1. Hoja Workflows: un type por fila (nombre, ejecuciones/mes, origen, duración open, KB de history, retention).</t>
        </is>
      </c>
    </row>
    <row r="11" ht="20" customHeight="1">
      <c r="A11" s="6" t="inlineStr">
        <is>
          <t>2. Hoja Pasos: detail de cada type. Veces × (% camino/100) × unidad oficial. Activity suma retries y heartbeats.</t>
        </is>
      </c>
    </row>
    <row r="12" ht="20" customHeight="1">
      <c r="A12" s="6" t="inlineStr">
        <is>
          <t>3. Hoja Resumen: totales del mes. Amarillo = input. Verde = fórmula. No editar verde.</t>
        </is>
      </c>
    </row>
    <row r="13" ht="20" customHeight="1">
      <c r="A13" s="6" t="inlineStr">
        <is>
          <t>4. Origen Cliente = 1 start_workflow. Signal-With-Start = 1. Schedule = 3 (incluye el start). Ninguno = 0.</t>
        </is>
      </c>
    </row>
    <row r="14" ht="20" customHeight="1">
      <c r="A14" s="6" t="inlineStr">
        <is>
          <t>5. Child (hijo NO listado) = 2 Actions. Si el hijo es otra fila en Workflows, no uses ese tipo en el padre.</t>
        </is>
      </c>
    </row>
    <row r="15" ht="20" customHeight="1">
      <c r="A15" s="6" t="inlineStr">
        <is>
          <t>6. Storage activo = exec × (KB/1024/1024) × horas open. Retenido = exec × GB × días × 24. Régimen mensual, no invoice.</t>
        </is>
      </c>
    </row>
    <row r="16" ht="20" customHeight="1">
      <c r="A16" s="6" t="inlineStr">
        <is>
          <t>7. Replay no factura. Heartbeat solo si llega al server (SDK ~80% del Heartbeat Timeout).</t>
        </is>
      </c>
    </row>
    <row r="17" ht="20" customHeight="1">
      <c r="A17" s="6" t="inlineStr">
        <is>
          <t>8. Fuentes: https://docs.temporal.io/cloud/actions  y  https://docs.temporal.io/cloud/pricing</t>
        </is>
      </c>
    </row>
  </sheetData>
  <mergeCells count="9">
    <mergeCell ref="A10:C10"/>
    <mergeCell ref="A13:C13"/>
    <mergeCell ref="A11:C11"/>
    <mergeCell ref="A1:C1"/>
    <mergeCell ref="A14:C14"/>
    <mergeCell ref="A17:C17"/>
    <mergeCell ref="A12:C12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42318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6" customWidth="1" min="3" max="3"/>
    <col width="16" customWidth="1" min="4" max="4"/>
  </cols>
  <sheetData>
    <row r="1" ht="28" customHeight="1">
      <c r="A1" s="1" t="inlineStr">
        <is>
          <t>Resumen mensual — Temporal Cloud (commitment 3 años)</t>
        </is>
      </c>
    </row>
    <row r="3">
      <c r="A3" s="2" t="inlineStr">
        <is>
          <t>Indicador</t>
        </is>
      </c>
      <c r="B3" s="2" t="inlineStr">
        <is>
          <t>Cantidad</t>
        </is>
      </c>
      <c r="C3" s="2" t="inlineStr">
        <is>
          <t>USD / mes</t>
        </is>
      </c>
    </row>
    <row r="4">
      <c r="A4" s="3" t="inlineStr">
        <is>
          <t>Tipos de workflow con nombre</t>
        </is>
      </c>
      <c r="B4" s="7">
        <f>COUNTA(Workflows!A2:A21)</f>
        <v/>
      </c>
      <c r="C4" s="3" t="inlineStr">
        <is>
          <t>—</t>
        </is>
      </c>
    </row>
    <row r="5">
      <c r="A5" s="3" t="inlineStr">
        <is>
          <t>Ejecuciones / mes</t>
        </is>
      </c>
      <c r="B5" s="8">
        <f>SUMIF(Workflows!A2:A21,"&lt;&gt;",Workflows!B2:B21)</f>
        <v/>
      </c>
      <c r="C5" s="3" t="inlineStr">
        <is>
          <t>—</t>
        </is>
      </c>
    </row>
    <row r="6">
      <c r="A6" s="3" t="inlineStr">
        <is>
          <t>Actions / mes</t>
        </is>
      </c>
      <c r="B6" s="9">
        <f>SUMIF(Workflows!A2:A21,"&lt;&gt;",Workflows!I2:I21)</f>
        <v/>
      </c>
      <c r="C6" s="10">
        <f>B6/1000000*RATE_ACTIONS</f>
        <v/>
      </c>
    </row>
    <row r="7">
      <c r="A7" s="3" t="inlineStr">
        <is>
          <t>Actions (millones)</t>
        </is>
      </c>
      <c r="B7" s="11">
        <f>B6/1000000</f>
        <v/>
      </c>
      <c r="C7" s="3" t="inlineStr">
        <is>
          <t>—</t>
        </is>
      </c>
    </row>
    <row r="8">
      <c r="A8" s="3" t="inlineStr">
        <is>
          <t>Actions / ejecución (media)</t>
        </is>
      </c>
      <c r="B8" s="11">
        <f>IF(B5=0,0,B6/B5)</f>
        <v/>
      </c>
      <c r="C8" s="3" t="inlineStr">
        <is>
          <t>—</t>
        </is>
      </c>
    </row>
    <row r="9">
      <c r="A9" s="3" t="inlineStr">
        <is>
          <t>Active Storage (GBh)</t>
        </is>
      </c>
      <c r="B9" s="11">
        <f>SUMIF(Workflows!A2:A21,"&lt;&gt;",Workflows!J2:J21)</f>
        <v/>
      </c>
      <c r="C9" s="10">
        <f>B9*RATE_ACTIVE</f>
        <v/>
      </c>
    </row>
    <row r="10">
      <c r="A10" s="3" t="inlineStr">
        <is>
          <t>Retained Storage (GBh)</t>
        </is>
      </c>
      <c r="B10" s="11">
        <f>SUMIF(Workflows!A2:A21,"&lt;&gt;",Workflows!K2:K21)</f>
        <v/>
      </c>
      <c r="C10" s="10">
        <f>B10*RATE_RETAINED</f>
        <v/>
      </c>
    </row>
    <row r="11">
      <c r="A11" s="3" t="inlineStr">
        <is>
          <t>GB activo equivalente (GBh / horas mes)</t>
        </is>
      </c>
      <c r="B11" s="11">
        <f>IF(HORAS_MES=0,0,B9/HORAS_MES)</f>
        <v/>
      </c>
      <c r="C11" s="3" t="inlineStr">
        <is>
          <t>—</t>
        </is>
      </c>
    </row>
    <row r="12">
      <c r="A12" s="12" t="inlineStr">
        <is>
          <t>TOTAL USD / mes</t>
        </is>
      </c>
      <c r="B12" s="13">
        <f>N(C6)+N(C9)+N(C10)</f>
        <v/>
      </c>
      <c r="C12" s="14">
        <f>B12</f>
        <v/>
      </c>
    </row>
    <row r="14">
      <c r="A14" s="5" t="inlineStr">
        <is>
          <t>Costo por workflow type (de la hoja Workflows)</t>
        </is>
      </c>
    </row>
    <row r="15">
      <c r="A15" s="15" t="inlineStr">
        <is>
          <t>Ver columnas L–O de Workflows. El gráfico usa los primeros 10 types.</t>
        </is>
      </c>
    </row>
    <row r="34" ht="36" customHeight="1">
      <c r="A34" s="6" t="inlineStr">
        <is>
          <t>Estimado de régimen, no la factura. Temporal documenta hasta ±5% entre métricas OpenMetrics y metering. No incluye Support, Export, Fairness ni TRU ociosos. No usar rate() ni series temporal_cloud_v0_*.</t>
        </is>
      </c>
    </row>
  </sheetData>
  <mergeCells count="2">
    <mergeCell ref="A1:D1"/>
    <mergeCell ref="A34:D3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6941C6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8" customWidth="1" min="3" max="3"/>
  </cols>
  <sheetData>
    <row r="1">
      <c r="A1" s="2" t="inlineStr">
        <is>
          <t>Origen</t>
        </is>
      </c>
      <c r="B1" s="2" t="inlineStr">
        <is>
          <t>Tipo de paso</t>
        </is>
      </c>
      <c r="C1" s="2" t="inlineStr">
        <is>
          <t>Actions unitarias</t>
        </is>
      </c>
    </row>
    <row r="2">
      <c r="A2" s="3" t="inlineStr">
        <is>
          <t>Cliente</t>
        </is>
      </c>
      <c r="B2" s="3" t="inlineStr">
        <is>
          <t>Activity</t>
        </is>
      </c>
      <c r="C2" s="16" t="n">
        <v>1</v>
      </c>
    </row>
    <row r="3">
      <c r="A3" s="3" t="inlineStr">
        <is>
          <t>Signal-With-Start</t>
        </is>
      </c>
      <c r="B3" s="3" t="inlineStr">
        <is>
          <t>Local Activities (1 por WFT)</t>
        </is>
      </c>
      <c r="C3" s="16" t="n">
        <v>1</v>
      </c>
    </row>
    <row r="4">
      <c r="A4" s="3" t="inlineStr">
        <is>
          <t>Schedule</t>
        </is>
      </c>
      <c r="B4" s="3" t="inlineStr">
        <is>
          <t>Timer / timeout SDK</t>
        </is>
      </c>
      <c r="C4" s="16" t="n">
        <v>1</v>
      </c>
    </row>
    <row r="5">
      <c r="A5" s="3" t="inlineStr">
        <is>
          <t>Ninguno</t>
        </is>
      </c>
      <c r="B5" s="3" t="inlineStr">
        <is>
          <t>Signal</t>
        </is>
      </c>
      <c r="C5" s="16" t="n">
        <v>1</v>
      </c>
    </row>
    <row r="6">
      <c r="B6" s="3" t="inlineStr">
        <is>
          <t>Signal externo</t>
        </is>
      </c>
      <c r="C6" s="16" t="n">
        <v>1</v>
      </c>
    </row>
    <row r="7">
      <c r="B7" s="3" t="inlineStr">
        <is>
          <t>Query</t>
        </is>
      </c>
      <c r="C7" s="16" t="n">
        <v>1</v>
      </c>
    </row>
    <row r="8">
      <c r="B8" s="3" t="inlineStr">
        <is>
          <t>Update</t>
        </is>
      </c>
      <c r="C8" s="16" t="n">
        <v>1</v>
      </c>
    </row>
    <row r="9">
      <c r="B9" s="3" t="inlineStr">
        <is>
          <t>Child (hijo NO listado)</t>
        </is>
      </c>
      <c r="C9" s="16" t="n">
        <v>2</v>
      </c>
    </row>
    <row r="10">
      <c r="B10" s="3" t="inlineStr">
        <is>
          <t>Continue-As-New</t>
        </is>
      </c>
      <c r="C10" s="16" t="n">
        <v>1</v>
      </c>
    </row>
    <row r="11">
      <c r="B11" s="3" t="inlineStr">
        <is>
          <t>Upsert Search Attributes</t>
        </is>
      </c>
      <c r="C11" s="16" t="n">
        <v>1</v>
      </c>
    </row>
    <row r="12">
      <c r="B12" s="3" t="inlineStr">
        <is>
          <t>Nexus Operation (caller)</t>
        </is>
      </c>
      <c r="C12" s="16" t="n">
        <v>1</v>
      </c>
    </row>
    <row r="13">
      <c r="B13" s="3" t="inlineStr">
        <is>
          <t>WFT Heartbeat (LA largas)</t>
        </is>
      </c>
      <c r="C13" s="16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27A48"/>
    <outlinePr summaryBelow="1" summaryRight="1"/>
    <pageSetUpPr/>
  </sheetPr>
  <dimension ref="A1:O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16" customWidth="1" min="5" max="5"/>
    <col width="20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2" customHeight="1">
      <c r="A1" s="17" t="inlineStr">
        <is>
          <t>Nombre (type)</t>
        </is>
      </c>
      <c r="B1" s="17" t="inlineStr">
        <is>
          <t>Ejecuciones / mes</t>
        </is>
      </c>
      <c r="C1" s="17" t="inlineStr">
        <is>
          <t>Origen</t>
        </is>
      </c>
      <c r="D1" s="17" t="inlineStr">
        <is>
          <t>Actions origen</t>
        </is>
      </c>
      <c r="E1" s="17" t="inlineStr">
        <is>
          <t>Duración open (h)</t>
        </is>
      </c>
      <c r="F1" s="17" t="inlineStr">
        <is>
          <t>History promedio (KB)</t>
        </is>
      </c>
      <c r="G1" s="17" t="inlineStr">
        <is>
          <t>Retention (días)</t>
        </is>
      </c>
      <c r="H1" s="17" t="inlineStr">
        <is>
          <t>Actions/exec (pasos)</t>
        </is>
      </c>
      <c r="I1" s="17" t="inlineStr">
        <is>
          <t>Actions / mes</t>
        </is>
      </c>
      <c r="J1" s="17" t="inlineStr">
        <is>
          <t>Active GBh</t>
        </is>
      </c>
      <c r="K1" s="17" t="inlineStr">
        <is>
          <t>Retained GBh</t>
        </is>
      </c>
      <c r="L1" s="17" t="inlineStr">
        <is>
          <t>USD Actions</t>
        </is>
      </c>
      <c r="M1" s="17" t="inlineStr">
        <is>
          <t>USD Active</t>
        </is>
      </c>
      <c r="N1" s="17" t="inlineStr">
        <is>
          <t>USD Retained</t>
        </is>
      </c>
      <c r="O1" s="17" t="inlineStr">
        <is>
          <t>USD total</t>
        </is>
      </c>
    </row>
    <row r="2" ht="20" customHeight="1">
      <c r="A2" s="18" t="inlineStr">
        <is>
          <t>Pago interbancario</t>
        </is>
      </c>
      <c r="B2" s="19" t="n">
        <v>50000</v>
      </c>
      <c r="C2" s="18" t="inlineStr">
        <is>
          <t>Cliente</t>
        </is>
      </c>
      <c r="D2" s="7">
        <f>IF(A2="","",IF(C2="Cliente",1,IF(C2="Signal-With-Start",1,IF(C2="Schedule",3,0))))</f>
        <v/>
      </c>
      <c r="E2" s="20" t="n">
        <v>0.4</v>
      </c>
      <c r="F2" s="19" t="n">
        <v>80</v>
      </c>
      <c r="G2" s="21" t="n">
        <v>30</v>
      </c>
      <c r="H2" s="22">
        <f>IF(A2="","",SUMIF(Pasos!$A$2:$A$151,A2,Pasos!$I$2:$I$151))</f>
        <v/>
      </c>
      <c r="I2" s="9">
        <f>IF(A2="","",B2*(D2+H2))</f>
        <v/>
      </c>
      <c r="J2" s="11">
        <f>IF(A2="","",B2*(F2/1024/1024)*E2)</f>
        <v/>
      </c>
      <c r="K2" s="11">
        <f>IF(A2="","",B2*(F2/1024/1024)*G2*24)</f>
        <v/>
      </c>
      <c r="L2" s="10">
        <f>IF(A2="","",I2/1000000*RATE_ACTIONS)</f>
        <v/>
      </c>
      <c r="M2" s="10">
        <f>IF(A2="","",J2*RATE_ACTIVE)</f>
        <v/>
      </c>
      <c r="N2" s="10">
        <f>IF(A2="","",K2*RATE_RETAINED)</f>
        <v/>
      </c>
      <c r="O2" s="10">
        <f>IF(A2="","",L2+M2+N2)</f>
        <v/>
      </c>
    </row>
    <row r="3" ht="20" customHeight="1">
      <c r="A3" s="18" t="inlineStr">
        <is>
          <t>Alta de cliente</t>
        </is>
      </c>
      <c r="B3" s="19" t="n">
        <v>8000</v>
      </c>
      <c r="C3" s="18" t="inlineStr">
        <is>
          <t>Schedule</t>
        </is>
      </c>
      <c r="D3" s="7">
        <f>IF(A3="","",IF(C3="Cliente",1,IF(C3="Signal-With-Start",1,IF(C3="Schedule",3,0))))</f>
        <v/>
      </c>
      <c r="E3" s="20" t="n">
        <v>2.5</v>
      </c>
      <c r="F3" s="19" t="n">
        <v>120</v>
      </c>
      <c r="G3" s="21" t="n">
        <v>30</v>
      </c>
      <c r="H3" s="22">
        <f>IF(A3="","",SUMIF(Pasos!$A$2:$A$151,A3,Pasos!$I$2:$I$151))</f>
        <v/>
      </c>
      <c r="I3" s="9">
        <f>IF(A3="","",B3*(D3+H3))</f>
        <v/>
      </c>
      <c r="J3" s="11">
        <f>IF(A3="","",B3*(F3/1024/1024)*E3)</f>
        <v/>
      </c>
      <c r="K3" s="11">
        <f>IF(A3="","",B3*(F3/1024/1024)*G3*24)</f>
        <v/>
      </c>
      <c r="L3" s="10">
        <f>IF(A3="","",I3/1000000*RATE_ACTIONS)</f>
        <v/>
      </c>
      <c r="M3" s="10">
        <f>IF(A3="","",J3*RATE_ACTIVE)</f>
        <v/>
      </c>
      <c r="N3" s="10">
        <f>IF(A3="","",K3*RATE_RETAINED)</f>
        <v/>
      </c>
      <c r="O3" s="10">
        <f>IF(A3="","",L3+M3+N3)</f>
        <v/>
      </c>
    </row>
    <row r="4" ht="20" customHeight="1">
      <c r="A4" s="18" t="inlineStr"/>
      <c r="B4" s="19" t="n"/>
      <c r="C4" s="18" t="inlineStr"/>
      <c r="D4" s="7">
        <f>IF(A4="","",IF(C4="Cliente",1,IF(C4="Signal-With-Start",1,IF(C4="Schedule",3,0))))</f>
        <v/>
      </c>
      <c r="E4" s="20" t="n"/>
      <c r="F4" s="19" t="n"/>
      <c r="G4" s="21" t="n"/>
      <c r="H4" s="22">
        <f>IF(A4="","",SUMIF(Pasos!$A$2:$A$151,A4,Pasos!$I$2:$I$151))</f>
        <v/>
      </c>
      <c r="I4" s="9">
        <f>IF(A4="","",B4*(D4+H4))</f>
        <v/>
      </c>
      <c r="J4" s="11">
        <f>IF(A4="","",B4*(F4/1024/1024)*E4)</f>
        <v/>
      </c>
      <c r="K4" s="11">
        <f>IF(A4="","",B4*(F4/1024/1024)*G4*24)</f>
        <v/>
      </c>
      <c r="L4" s="10">
        <f>IF(A4="","",I4/1000000*RATE_ACTIONS)</f>
        <v/>
      </c>
      <c r="M4" s="10">
        <f>IF(A4="","",J4*RATE_ACTIVE)</f>
        <v/>
      </c>
      <c r="N4" s="10">
        <f>IF(A4="","",K4*RATE_RETAINED)</f>
        <v/>
      </c>
      <c r="O4" s="10">
        <f>IF(A4="","",L4+M4+N4)</f>
        <v/>
      </c>
    </row>
    <row r="5" ht="20" customHeight="1">
      <c r="A5" s="18" t="inlineStr"/>
      <c r="B5" s="19" t="n"/>
      <c r="C5" s="18" t="inlineStr"/>
      <c r="D5" s="7">
        <f>IF(A5="","",IF(C5="Cliente",1,IF(C5="Signal-With-Start",1,IF(C5="Schedule",3,0))))</f>
        <v/>
      </c>
      <c r="E5" s="20" t="n"/>
      <c r="F5" s="19" t="n"/>
      <c r="G5" s="21" t="n"/>
      <c r="H5" s="22">
        <f>IF(A5="","",SUMIF(Pasos!$A$2:$A$151,A5,Pasos!$I$2:$I$151))</f>
        <v/>
      </c>
      <c r="I5" s="9">
        <f>IF(A5="","",B5*(D5+H5))</f>
        <v/>
      </c>
      <c r="J5" s="11">
        <f>IF(A5="","",B5*(F5/1024/1024)*E5)</f>
        <v/>
      </c>
      <c r="K5" s="11">
        <f>IF(A5="","",B5*(F5/1024/1024)*G5*24)</f>
        <v/>
      </c>
      <c r="L5" s="10">
        <f>IF(A5="","",I5/1000000*RATE_ACTIONS)</f>
        <v/>
      </c>
      <c r="M5" s="10">
        <f>IF(A5="","",J5*RATE_ACTIVE)</f>
        <v/>
      </c>
      <c r="N5" s="10">
        <f>IF(A5="","",K5*RATE_RETAINED)</f>
        <v/>
      </c>
      <c r="O5" s="10">
        <f>IF(A5="","",L5+M5+N5)</f>
        <v/>
      </c>
    </row>
    <row r="6" ht="20" customHeight="1">
      <c r="A6" s="18" t="inlineStr"/>
      <c r="B6" s="19" t="n"/>
      <c r="C6" s="18" t="inlineStr"/>
      <c r="D6" s="7">
        <f>IF(A6="","",IF(C6="Cliente",1,IF(C6="Signal-With-Start",1,IF(C6="Schedule",3,0))))</f>
        <v/>
      </c>
      <c r="E6" s="20" t="n"/>
      <c r="F6" s="19" t="n"/>
      <c r="G6" s="21" t="n"/>
      <c r="H6" s="22">
        <f>IF(A6="","",SUMIF(Pasos!$A$2:$A$151,A6,Pasos!$I$2:$I$151))</f>
        <v/>
      </c>
      <c r="I6" s="9">
        <f>IF(A6="","",B6*(D6+H6))</f>
        <v/>
      </c>
      <c r="J6" s="11">
        <f>IF(A6="","",B6*(F6/1024/1024)*E6)</f>
        <v/>
      </c>
      <c r="K6" s="11">
        <f>IF(A6="","",B6*(F6/1024/1024)*G6*24)</f>
        <v/>
      </c>
      <c r="L6" s="10">
        <f>IF(A6="","",I6/1000000*RATE_ACTIONS)</f>
        <v/>
      </c>
      <c r="M6" s="10">
        <f>IF(A6="","",J6*RATE_ACTIVE)</f>
        <v/>
      </c>
      <c r="N6" s="10">
        <f>IF(A6="","",K6*RATE_RETAINED)</f>
        <v/>
      </c>
      <c r="O6" s="10">
        <f>IF(A6="","",L6+M6+N6)</f>
        <v/>
      </c>
    </row>
    <row r="7" ht="20" customHeight="1">
      <c r="A7" s="18" t="inlineStr"/>
      <c r="B7" s="19" t="n"/>
      <c r="C7" s="18" t="inlineStr"/>
      <c r="D7" s="7">
        <f>IF(A7="","",IF(C7="Cliente",1,IF(C7="Signal-With-Start",1,IF(C7="Schedule",3,0))))</f>
        <v/>
      </c>
      <c r="E7" s="20" t="n"/>
      <c r="F7" s="19" t="n"/>
      <c r="G7" s="21" t="n"/>
      <c r="H7" s="22">
        <f>IF(A7="","",SUMIF(Pasos!$A$2:$A$151,A7,Pasos!$I$2:$I$151))</f>
        <v/>
      </c>
      <c r="I7" s="9">
        <f>IF(A7="","",B7*(D7+H7))</f>
        <v/>
      </c>
      <c r="J7" s="11">
        <f>IF(A7="","",B7*(F7/1024/1024)*E7)</f>
        <v/>
      </c>
      <c r="K7" s="11">
        <f>IF(A7="","",B7*(F7/1024/1024)*G7*24)</f>
        <v/>
      </c>
      <c r="L7" s="10">
        <f>IF(A7="","",I7/1000000*RATE_ACTIONS)</f>
        <v/>
      </c>
      <c r="M7" s="10">
        <f>IF(A7="","",J7*RATE_ACTIVE)</f>
        <v/>
      </c>
      <c r="N7" s="10">
        <f>IF(A7="","",K7*RATE_RETAINED)</f>
        <v/>
      </c>
      <c r="O7" s="10">
        <f>IF(A7="","",L7+M7+N7)</f>
        <v/>
      </c>
    </row>
    <row r="8" ht="20" customHeight="1">
      <c r="A8" s="18" t="inlineStr"/>
      <c r="B8" s="19" t="n"/>
      <c r="C8" s="18" t="inlineStr"/>
      <c r="D8" s="7">
        <f>IF(A8="","",IF(C8="Cliente",1,IF(C8="Signal-With-Start",1,IF(C8="Schedule",3,0))))</f>
        <v/>
      </c>
      <c r="E8" s="20" t="n"/>
      <c r="F8" s="19" t="n"/>
      <c r="G8" s="21" t="n"/>
      <c r="H8" s="22">
        <f>IF(A8="","",SUMIF(Pasos!$A$2:$A$151,A8,Pasos!$I$2:$I$151))</f>
        <v/>
      </c>
      <c r="I8" s="9">
        <f>IF(A8="","",B8*(D8+H8))</f>
        <v/>
      </c>
      <c r="J8" s="11">
        <f>IF(A8="","",B8*(F8/1024/1024)*E8)</f>
        <v/>
      </c>
      <c r="K8" s="11">
        <f>IF(A8="","",B8*(F8/1024/1024)*G8*24)</f>
        <v/>
      </c>
      <c r="L8" s="10">
        <f>IF(A8="","",I8/1000000*RATE_ACTIONS)</f>
        <v/>
      </c>
      <c r="M8" s="10">
        <f>IF(A8="","",J8*RATE_ACTIVE)</f>
        <v/>
      </c>
      <c r="N8" s="10">
        <f>IF(A8="","",K8*RATE_RETAINED)</f>
        <v/>
      </c>
      <c r="O8" s="10">
        <f>IF(A8="","",L8+M8+N8)</f>
        <v/>
      </c>
    </row>
    <row r="9" ht="20" customHeight="1">
      <c r="A9" s="18" t="inlineStr"/>
      <c r="B9" s="19" t="n"/>
      <c r="C9" s="18" t="inlineStr"/>
      <c r="D9" s="7">
        <f>IF(A9="","",IF(C9="Cliente",1,IF(C9="Signal-With-Start",1,IF(C9="Schedule",3,0))))</f>
        <v/>
      </c>
      <c r="E9" s="20" t="n"/>
      <c r="F9" s="19" t="n"/>
      <c r="G9" s="21" t="n"/>
      <c r="H9" s="22">
        <f>IF(A9="","",SUMIF(Pasos!$A$2:$A$151,A9,Pasos!$I$2:$I$151))</f>
        <v/>
      </c>
      <c r="I9" s="9">
        <f>IF(A9="","",B9*(D9+H9))</f>
        <v/>
      </c>
      <c r="J9" s="11">
        <f>IF(A9="","",B9*(F9/1024/1024)*E9)</f>
        <v/>
      </c>
      <c r="K9" s="11">
        <f>IF(A9="","",B9*(F9/1024/1024)*G9*24)</f>
        <v/>
      </c>
      <c r="L9" s="10">
        <f>IF(A9="","",I9/1000000*RATE_ACTIONS)</f>
        <v/>
      </c>
      <c r="M9" s="10">
        <f>IF(A9="","",J9*RATE_ACTIVE)</f>
        <v/>
      </c>
      <c r="N9" s="10">
        <f>IF(A9="","",K9*RATE_RETAINED)</f>
        <v/>
      </c>
      <c r="O9" s="10">
        <f>IF(A9="","",L9+M9+N9)</f>
        <v/>
      </c>
    </row>
    <row r="10" ht="20" customHeight="1">
      <c r="A10" s="18" t="inlineStr"/>
      <c r="B10" s="19" t="n"/>
      <c r="C10" s="18" t="inlineStr"/>
      <c r="D10" s="7">
        <f>IF(A10="","",IF(C10="Cliente",1,IF(C10="Signal-With-Start",1,IF(C10="Schedule",3,0))))</f>
        <v/>
      </c>
      <c r="E10" s="20" t="n"/>
      <c r="F10" s="19" t="n"/>
      <c r="G10" s="21" t="n"/>
      <c r="H10" s="22">
        <f>IF(A10="","",SUMIF(Pasos!$A$2:$A$151,A10,Pasos!$I$2:$I$151))</f>
        <v/>
      </c>
      <c r="I10" s="9">
        <f>IF(A10="","",B10*(D10+H10))</f>
        <v/>
      </c>
      <c r="J10" s="11">
        <f>IF(A10="","",B10*(F10/1024/1024)*E10)</f>
        <v/>
      </c>
      <c r="K10" s="11">
        <f>IF(A10="","",B10*(F10/1024/1024)*G10*24)</f>
        <v/>
      </c>
      <c r="L10" s="10">
        <f>IF(A10="","",I10/1000000*RATE_ACTIONS)</f>
        <v/>
      </c>
      <c r="M10" s="10">
        <f>IF(A10="","",J10*RATE_ACTIVE)</f>
        <v/>
      </c>
      <c r="N10" s="10">
        <f>IF(A10="","",K10*RATE_RETAINED)</f>
        <v/>
      </c>
      <c r="O10" s="10">
        <f>IF(A10="","",L10+M10+N10)</f>
        <v/>
      </c>
    </row>
    <row r="11" ht="20" customHeight="1">
      <c r="A11" s="18" t="inlineStr"/>
      <c r="B11" s="19" t="n"/>
      <c r="C11" s="18" t="inlineStr"/>
      <c r="D11" s="7">
        <f>IF(A11="","",IF(C11="Cliente",1,IF(C11="Signal-With-Start",1,IF(C11="Schedule",3,0))))</f>
        <v/>
      </c>
      <c r="E11" s="20" t="n"/>
      <c r="F11" s="19" t="n"/>
      <c r="G11" s="21" t="n"/>
      <c r="H11" s="22">
        <f>IF(A11="","",SUMIF(Pasos!$A$2:$A$151,A11,Pasos!$I$2:$I$151))</f>
        <v/>
      </c>
      <c r="I11" s="9">
        <f>IF(A11="","",B11*(D11+H11))</f>
        <v/>
      </c>
      <c r="J11" s="11">
        <f>IF(A11="","",B11*(F11/1024/1024)*E11)</f>
        <v/>
      </c>
      <c r="K11" s="11">
        <f>IF(A11="","",B11*(F11/1024/1024)*G11*24)</f>
        <v/>
      </c>
      <c r="L11" s="10">
        <f>IF(A11="","",I11/1000000*RATE_ACTIONS)</f>
        <v/>
      </c>
      <c r="M11" s="10">
        <f>IF(A11="","",J11*RATE_ACTIVE)</f>
        <v/>
      </c>
      <c r="N11" s="10">
        <f>IF(A11="","",K11*RATE_RETAINED)</f>
        <v/>
      </c>
      <c r="O11" s="10">
        <f>IF(A11="","",L11+M11+N11)</f>
        <v/>
      </c>
    </row>
    <row r="12" ht="20" customHeight="1">
      <c r="A12" s="18" t="inlineStr"/>
      <c r="B12" s="19" t="n"/>
      <c r="C12" s="18" t="inlineStr"/>
      <c r="D12" s="7">
        <f>IF(A12="","",IF(C12="Cliente",1,IF(C12="Signal-With-Start",1,IF(C12="Schedule",3,0))))</f>
        <v/>
      </c>
      <c r="E12" s="20" t="n"/>
      <c r="F12" s="19" t="n"/>
      <c r="G12" s="21" t="n"/>
      <c r="H12" s="22">
        <f>IF(A12="","",SUMIF(Pasos!$A$2:$A$151,A12,Pasos!$I$2:$I$151))</f>
        <v/>
      </c>
      <c r="I12" s="9">
        <f>IF(A12="","",B12*(D12+H12))</f>
        <v/>
      </c>
      <c r="J12" s="11">
        <f>IF(A12="","",B12*(F12/1024/1024)*E12)</f>
        <v/>
      </c>
      <c r="K12" s="11">
        <f>IF(A12="","",B12*(F12/1024/1024)*G12*24)</f>
        <v/>
      </c>
      <c r="L12" s="10">
        <f>IF(A12="","",I12/1000000*RATE_ACTIONS)</f>
        <v/>
      </c>
      <c r="M12" s="10">
        <f>IF(A12="","",J12*RATE_ACTIVE)</f>
        <v/>
      </c>
      <c r="N12" s="10">
        <f>IF(A12="","",K12*RATE_RETAINED)</f>
        <v/>
      </c>
      <c r="O12" s="10">
        <f>IF(A12="","",L12+M12+N12)</f>
        <v/>
      </c>
    </row>
    <row r="13" ht="20" customHeight="1">
      <c r="A13" s="18" t="inlineStr"/>
      <c r="B13" s="19" t="n"/>
      <c r="C13" s="18" t="inlineStr"/>
      <c r="D13" s="7">
        <f>IF(A13="","",IF(C13="Cliente",1,IF(C13="Signal-With-Start",1,IF(C13="Schedule",3,0))))</f>
        <v/>
      </c>
      <c r="E13" s="20" t="n"/>
      <c r="F13" s="19" t="n"/>
      <c r="G13" s="21" t="n"/>
      <c r="H13" s="22">
        <f>IF(A13="","",SUMIF(Pasos!$A$2:$A$151,A13,Pasos!$I$2:$I$151))</f>
        <v/>
      </c>
      <c r="I13" s="9">
        <f>IF(A13="","",B13*(D13+H13))</f>
        <v/>
      </c>
      <c r="J13" s="11">
        <f>IF(A13="","",B13*(F13/1024/1024)*E13)</f>
        <v/>
      </c>
      <c r="K13" s="11">
        <f>IF(A13="","",B13*(F13/1024/1024)*G13*24)</f>
        <v/>
      </c>
      <c r="L13" s="10">
        <f>IF(A13="","",I13/1000000*RATE_ACTIONS)</f>
        <v/>
      </c>
      <c r="M13" s="10">
        <f>IF(A13="","",J13*RATE_ACTIVE)</f>
        <v/>
      </c>
      <c r="N13" s="10">
        <f>IF(A13="","",K13*RATE_RETAINED)</f>
        <v/>
      </c>
      <c r="O13" s="10">
        <f>IF(A13="","",L13+M13+N13)</f>
        <v/>
      </c>
    </row>
    <row r="14" ht="20" customHeight="1">
      <c r="A14" s="18" t="inlineStr"/>
      <c r="B14" s="19" t="n"/>
      <c r="C14" s="18" t="inlineStr"/>
      <c r="D14" s="7">
        <f>IF(A14="","",IF(C14="Cliente",1,IF(C14="Signal-With-Start",1,IF(C14="Schedule",3,0))))</f>
        <v/>
      </c>
      <c r="E14" s="20" t="n"/>
      <c r="F14" s="19" t="n"/>
      <c r="G14" s="21" t="n"/>
      <c r="H14" s="22">
        <f>IF(A14="","",SUMIF(Pasos!$A$2:$A$151,A14,Pasos!$I$2:$I$151))</f>
        <v/>
      </c>
      <c r="I14" s="9">
        <f>IF(A14="","",B14*(D14+H14))</f>
        <v/>
      </c>
      <c r="J14" s="11">
        <f>IF(A14="","",B14*(F14/1024/1024)*E14)</f>
        <v/>
      </c>
      <c r="K14" s="11">
        <f>IF(A14="","",B14*(F14/1024/1024)*G14*24)</f>
        <v/>
      </c>
      <c r="L14" s="10">
        <f>IF(A14="","",I14/1000000*RATE_ACTIONS)</f>
        <v/>
      </c>
      <c r="M14" s="10">
        <f>IF(A14="","",J14*RATE_ACTIVE)</f>
        <v/>
      </c>
      <c r="N14" s="10">
        <f>IF(A14="","",K14*RATE_RETAINED)</f>
        <v/>
      </c>
      <c r="O14" s="10">
        <f>IF(A14="","",L14+M14+N14)</f>
        <v/>
      </c>
    </row>
    <row r="15" ht="20" customHeight="1">
      <c r="A15" s="18" t="inlineStr"/>
      <c r="B15" s="19" t="n"/>
      <c r="C15" s="18" t="inlineStr"/>
      <c r="D15" s="7">
        <f>IF(A15="","",IF(C15="Cliente",1,IF(C15="Signal-With-Start",1,IF(C15="Schedule",3,0))))</f>
        <v/>
      </c>
      <c r="E15" s="20" t="n"/>
      <c r="F15" s="19" t="n"/>
      <c r="G15" s="21" t="n"/>
      <c r="H15" s="22">
        <f>IF(A15="","",SUMIF(Pasos!$A$2:$A$151,A15,Pasos!$I$2:$I$151))</f>
        <v/>
      </c>
      <c r="I15" s="9">
        <f>IF(A15="","",B15*(D15+H15))</f>
        <v/>
      </c>
      <c r="J15" s="11">
        <f>IF(A15="","",B15*(F15/1024/1024)*E15)</f>
        <v/>
      </c>
      <c r="K15" s="11">
        <f>IF(A15="","",B15*(F15/1024/1024)*G15*24)</f>
        <v/>
      </c>
      <c r="L15" s="10">
        <f>IF(A15="","",I15/1000000*RATE_ACTIONS)</f>
        <v/>
      </c>
      <c r="M15" s="10">
        <f>IF(A15="","",J15*RATE_ACTIVE)</f>
        <v/>
      </c>
      <c r="N15" s="10">
        <f>IF(A15="","",K15*RATE_RETAINED)</f>
        <v/>
      </c>
      <c r="O15" s="10">
        <f>IF(A15="","",L15+M15+N15)</f>
        <v/>
      </c>
    </row>
    <row r="16" ht="20" customHeight="1">
      <c r="A16" s="18" t="inlineStr"/>
      <c r="B16" s="19" t="n"/>
      <c r="C16" s="18" t="inlineStr"/>
      <c r="D16" s="7">
        <f>IF(A16="","",IF(C16="Cliente",1,IF(C16="Signal-With-Start",1,IF(C16="Schedule",3,0))))</f>
        <v/>
      </c>
      <c r="E16" s="20" t="n"/>
      <c r="F16" s="19" t="n"/>
      <c r="G16" s="21" t="n"/>
      <c r="H16" s="22">
        <f>IF(A16="","",SUMIF(Pasos!$A$2:$A$151,A16,Pasos!$I$2:$I$151))</f>
        <v/>
      </c>
      <c r="I16" s="9">
        <f>IF(A16="","",B16*(D16+H16))</f>
        <v/>
      </c>
      <c r="J16" s="11">
        <f>IF(A16="","",B16*(F16/1024/1024)*E16)</f>
        <v/>
      </c>
      <c r="K16" s="11">
        <f>IF(A16="","",B16*(F16/1024/1024)*G16*24)</f>
        <v/>
      </c>
      <c r="L16" s="10">
        <f>IF(A16="","",I16/1000000*RATE_ACTIONS)</f>
        <v/>
      </c>
      <c r="M16" s="10">
        <f>IF(A16="","",J16*RATE_ACTIVE)</f>
        <v/>
      </c>
      <c r="N16" s="10">
        <f>IF(A16="","",K16*RATE_RETAINED)</f>
        <v/>
      </c>
      <c r="O16" s="10">
        <f>IF(A16="","",L16+M16+N16)</f>
        <v/>
      </c>
    </row>
    <row r="17" ht="20" customHeight="1">
      <c r="A17" s="18" t="inlineStr"/>
      <c r="B17" s="19" t="n"/>
      <c r="C17" s="18" t="inlineStr"/>
      <c r="D17" s="7">
        <f>IF(A17="","",IF(C17="Cliente",1,IF(C17="Signal-With-Start",1,IF(C17="Schedule",3,0))))</f>
        <v/>
      </c>
      <c r="E17" s="20" t="n"/>
      <c r="F17" s="19" t="n"/>
      <c r="G17" s="21" t="n"/>
      <c r="H17" s="22">
        <f>IF(A17="","",SUMIF(Pasos!$A$2:$A$151,A17,Pasos!$I$2:$I$151))</f>
        <v/>
      </c>
      <c r="I17" s="9">
        <f>IF(A17="","",B17*(D17+H17))</f>
        <v/>
      </c>
      <c r="J17" s="11">
        <f>IF(A17="","",B17*(F17/1024/1024)*E17)</f>
        <v/>
      </c>
      <c r="K17" s="11">
        <f>IF(A17="","",B17*(F17/1024/1024)*G17*24)</f>
        <v/>
      </c>
      <c r="L17" s="10">
        <f>IF(A17="","",I17/1000000*RATE_ACTIONS)</f>
        <v/>
      </c>
      <c r="M17" s="10">
        <f>IF(A17="","",J17*RATE_ACTIVE)</f>
        <v/>
      </c>
      <c r="N17" s="10">
        <f>IF(A17="","",K17*RATE_RETAINED)</f>
        <v/>
      </c>
      <c r="O17" s="10">
        <f>IF(A17="","",L17+M17+N17)</f>
        <v/>
      </c>
    </row>
    <row r="18" ht="20" customHeight="1">
      <c r="A18" s="18" t="inlineStr"/>
      <c r="B18" s="19" t="n"/>
      <c r="C18" s="18" t="inlineStr"/>
      <c r="D18" s="7">
        <f>IF(A18="","",IF(C18="Cliente",1,IF(C18="Signal-With-Start",1,IF(C18="Schedule",3,0))))</f>
        <v/>
      </c>
      <c r="E18" s="20" t="n"/>
      <c r="F18" s="19" t="n"/>
      <c r="G18" s="21" t="n"/>
      <c r="H18" s="22">
        <f>IF(A18="","",SUMIF(Pasos!$A$2:$A$151,A18,Pasos!$I$2:$I$151))</f>
        <v/>
      </c>
      <c r="I18" s="9">
        <f>IF(A18="","",B18*(D18+H18))</f>
        <v/>
      </c>
      <c r="J18" s="11">
        <f>IF(A18="","",B18*(F18/1024/1024)*E18)</f>
        <v/>
      </c>
      <c r="K18" s="11">
        <f>IF(A18="","",B18*(F18/1024/1024)*G18*24)</f>
        <v/>
      </c>
      <c r="L18" s="10">
        <f>IF(A18="","",I18/1000000*RATE_ACTIONS)</f>
        <v/>
      </c>
      <c r="M18" s="10">
        <f>IF(A18="","",J18*RATE_ACTIVE)</f>
        <v/>
      </c>
      <c r="N18" s="10">
        <f>IF(A18="","",K18*RATE_RETAINED)</f>
        <v/>
      </c>
      <c r="O18" s="10">
        <f>IF(A18="","",L18+M18+N18)</f>
        <v/>
      </c>
    </row>
    <row r="19" ht="20" customHeight="1">
      <c r="A19" s="18" t="inlineStr"/>
      <c r="B19" s="19" t="n"/>
      <c r="C19" s="18" t="inlineStr"/>
      <c r="D19" s="7">
        <f>IF(A19="","",IF(C19="Cliente",1,IF(C19="Signal-With-Start",1,IF(C19="Schedule",3,0))))</f>
        <v/>
      </c>
      <c r="E19" s="20" t="n"/>
      <c r="F19" s="19" t="n"/>
      <c r="G19" s="21" t="n"/>
      <c r="H19" s="22">
        <f>IF(A19="","",SUMIF(Pasos!$A$2:$A$151,A19,Pasos!$I$2:$I$151))</f>
        <v/>
      </c>
      <c r="I19" s="9">
        <f>IF(A19="","",B19*(D19+H19))</f>
        <v/>
      </c>
      <c r="J19" s="11">
        <f>IF(A19="","",B19*(F19/1024/1024)*E19)</f>
        <v/>
      </c>
      <c r="K19" s="11">
        <f>IF(A19="","",B19*(F19/1024/1024)*G19*24)</f>
        <v/>
      </c>
      <c r="L19" s="10">
        <f>IF(A19="","",I19/1000000*RATE_ACTIONS)</f>
        <v/>
      </c>
      <c r="M19" s="10">
        <f>IF(A19="","",J19*RATE_ACTIVE)</f>
        <v/>
      </c>
      <c r="N19" s="10">
        <f>IF(A19="","",K19*RATE_RETAINED)</f>
        <v/>
      </c>
      <c r="O19" s="10">
        <f>IF(A19="","",L19+M19+N19)</f>
        <v/>
      </c>
    </row>
    <row r="20" ht="20" customHeight="1">
      <c r="A20" s="18" t="inlineStr"/>
      <c r="B20" s="19" t="n"/>
      <c r="C20" s="18" t="inlineStr"/>
      <c r="D20" s="7">
        <f>IF(A20="","",IF(C20="Cliente",1,IF(C20="Signal-With-Start",1,IF(C20="Schedule",3,0))))</f>
        <v/>
      </c>
      <c r="E20" s="20" t="n"/>
      <c r="F20" s="19" t="n"/>
      <c r="G20" s="21" t="n"/>
      <c r="H20" s="22">
        <f>IF(A20="","",SUMIF(Pasos!$A$2:$A$151,A20,Pasos!$I$2:$I$151))</f>
        <v/>
      </c>
      <c r="I20" s="9">
        <f>IF(A20="","",B20*(D20+H20))</f>
        <v/>
      </c>
      <c r="J20" s="11">
        <f>IF(A20="","",B20*(F20/1024/1024)*E20)</f>
        <v/>
      </c>
      <c r="K20" s="11">
        <f>IF(A20="","",B20*(F20/1024/1024)*G20*24)</f>
        <v/>
      </c>
      <c r="L20" s="10">
        <f>IF(A20="","",I20/1000000*RATE_ACTIONS)</f>
        <v/>
      </c>
      <c r="M20" s="10">
        <f>IF(A20="","",J20*RATE_ACTIVE)</f>
        <v/>
      </c>
      <c r="N20" s="10">
        <f>IF(A20="","",K20*RATE_RETAINED)</f>
        <v/>
      </c>
      <c r="O20" s="10">
        <f>IF(A20="","",L20+M20+N20)</f>
        <v/>
      </c>
    </row>
    <row r="21" ht="20" customHeight="1">
      <c r="A21" s="18" t="inlineStr"/>
      <c r="B21" s="19" t="n"/>
      <c r="C21" s="18" t="inlineStr"/>
      <c r="D21" s="7">
        <f>IF(A21="","",IF(C21="Cliente",1,IF(C21="Signal-With-Start",1,IF(C21="Schedule",3,0))))</f>
        <v/>
      </c>
      <c r="E21" s="20" t="n"/>
      <c r="F21" s="19" t="n"/>
      <c r="G21" s="21" t="n"/>
      <c r="H21" s="22">
        <f>IF(A21="","",SUMIF(Pasos!$A$2:$A$151,A21,Pasos!$I$2:$I$151))</f>
        <v/>
      </c>
      <c r="I21" s="9">
        <f>IF(A21="","",B21*(D21+H21))</f>
        <v/>
      </c>
      <c r="J21" s="11">
        <f>IF(A21="","",B21*(F21/1024/1024)*E21)</f>
        <v/>
      </c>
      <c r="K21" s="11">
        <f>IF(A21="","",B21*(F21/1024/1024)*G21*24)</f>
        <v/>
      </c>
      <c r="L21" s="10">
        <f>IF(A21="","",I21/1000000*RATE_ACTIONS)</f>
        <v/>
      </c>
      <c r="M21" s="10">
        <f>IF(A21="","",J21*RATE_ACTIVE)</f>
        <v/>
      </c>
      <c r="N21" s="10">
        <f>IF(A21="","",K21*RATE_RETAINED)</f>
        <v/>
      </c>
      <c r="O21" s="10">
        <f>IF(A21="","",L21+M21+N21)</f>
        <v/>
      </c>
    </row>
  </sheetData>
  <autoFilter ref="A1:O21"/>
  <conditionalFormatting sqref="O2:O21">
    <cfRule type="expression" priority="1" dxfId="0">
      <formula>O2&gt;0</formula>
    </cfRule>
  </conditionalFormatting>
  <dataValidations count="1">
    <dataValidation sqref="C2:C21" showDropDown="0" showInputMessage="0" showErrorMessage="0" allowBlank="1" errorTitle="Origen" error="Elige Cliente, Signal-With-Start, Schedule o Ninguno" type="list">
      <formula1>=ORIGENES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DB022"/>
    <outlinePr summaryBelow="1" summaryRight="1"/>
    <pageSetUpPr/>
  </sheetPr>
  <dimension ref="A1:I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36" customWidth="1" min="3" max="3"/>
    <col width="22" customWidth="1" min="4" max="4"/>
    <col width="14" customWidth="1" min="5" max="5"/>
    <col width="24" customWidth="1" min="6" max="6"/>
    <col width="26" customWidth="1" min="7" max="7"/>
    <col width="16" customWidth="1" min="8" max="8"/>
    <col width="18" customWidth="1" min="9" max="9"/>
  </cols>
  <sheetData>
    <row r="1" ht="32" customHeight="1">
      <c r="A1" s="17" t="inlineStr">
        <is>
          <t>Workflow (type)</t>
        </is>
      </c>
      <c r="B1" s="17" t="inlineStr">
        <is>
          <t>Tipo de paso</t>
        </is>
      </c>
      <c r="C1" s="17" t="inlineStr">
        <is>
          <t>Nombre del paso</t>
        </is>
      </c>
      <c r="D1" s="17" t="inlineStr">
        <is>
          <t>Veces si el camino ocurre</t>
        </is>
      </c>
      <c r="E1" s="17" t="inlineStr">
        <is>
          <t>% del flujo</t>
        </is>
      </c>
      <c r="F1" s="17" t="inlineStr">
        <is>
          <t>Retries avg (solo Activity)</t>
        </is>
      </c>
      <c r="G1" s="17" t="inlineStr">
        <is>
          <t>Heartbeats avg (solo Activity)</t>
        </is>
      </c>
      <c r="H1" s="17" t="inlineStr">
        <is>
          <t>Unidad oficial</t>
        </is>
      </c>
      <c r="I1" s="17" t="inlineStr">
        <is>
          <t>Actions / ejecución</t>
        </is>
      </c>
    </row>
    <row r="2" ht="18" customHeight="1">
      <c r="A2" s="18" t="inlineStr">
        <is>
          <t>Pago interbancario</t>
        </is>
      </c>
      <c r="B2" s="18" t="inlineStr">
        <is>
          <t>Activity</t>
        </is>
      </c>
      <c r="C2" s="18" t="inlineStr">
        <is>
          <t>Validar cuenta</t>
        </is>
      </c>
      <c r="D2" s="20" t="n">
        <v>1</v>
      </c>
      <c r="E2" s="21" t="n">
        <v>100</v>
      </c>
      <c r="F2" s="20" t="n">
        <v>0</v>
      </c>
      <c r="G2" s="20" t="n">
        <v>0</v>
      </c>
      <c r="H2" s="7">
        <f>IF(B2="","",IFERROR(VLOOKUP(B2,TIPO_UNIDAD,2,FALSE),1))</f>
        <v/>
      </c>
      <c r="I2" s="23">
        <f>IF(OR(A2="",B2=""),"",IF(B2="Activity",D2*(E2/100)*(1+N(F2)+N(G2)),D2*(E2/100)*H2))</f>
        <v/>
      </c>
    </row>
    <row r="3" ht="18" customHeight="1">
      <c r="A3" s="18" t="inlineStr">
        <is>
          <t>Pago interbancario</t>
        </is>
      </c>
      <c r="B3" s="18" t="inlineStr">
        <is>
          <t>Activity</t>
        </is>
      </c>
      <c r="C3" s="18" t="inlineStr">
        <is>
          <t>Débito core</t>
        </is>
      </c>
      <c r="D3" s="20" t="n">
        <v>1</v>
      </c>
      <c r="E3" s="21" t="n">
        <v>98</v>
      </c>
      <c r="F3" s="20" t="n">
        <v>0.3</v>
      </c>
      <c r="G3" s="20" t="n">
        <v>4</v>
      </c>
      <c r="H3" s="7">
        <f>IF(B3="","",IFERROR(VLOOKUP(B3,TIPO_UNIDAD,2,FALSE),1))</f>
        <v/>
      </c>
      <c r="I3" s="23">
        <f>IF(OR(A3="",B3=""),"",IF(B3="Activity",D3*(E3/100)*(1+N(F3)+N(G3)),D3*(E3/100)*H3))</f>
        <v/>
      </c>
    </row>
    <row r="4" ht="18" customHeight="1">
      <c r="A4" s="18" t="inlineStr">
        <is>
          <t>Pago interbancario</t>
        </is>
      </c>
      <c r="B4" s="18" t="inlineStr">
        <is>
          <t>Activity</t>
        </is>
      </c>
      <c r="C4" s="18" t="inlineStr">
        <is>
          <t>Crédito destino</t>
        </is>
      </c>
      <c r="D4" s="20" t="n">
        <v>1</v>
      </c>
      <c r="E4" s="21" t="n">
        <v>95</v>
      </c>
      <c r="F4" s="20" t="n">
        <v>0.4</v>
      </c>
      <c r="G4" s="20" t="n">
        <v>6</v>
      </c>
      <c r="H4" s="7">
        <f>IF(B4="","",IFERROR(VLOOKUP(B4,TIPO_UNIDAD,2,FALSE),1))</f>
        <v/>
      </c>
      <c r="I4" s="23">
        <f>IF(OR(A4="",B4=""),"",IF(B4="Activity",D4*(E4/100)*(1+N(F4)+N(G4)),D4*(E4/100)*H4))</f>
        <v/>
      </c>
    </row>
    <row r="5" ht="18" customHeight="1">
      <c r="A5" s="18" t="inlineStr">
        <is>
          <t>Pago interbancario</t>
        </is>
      </c>
      <c r="B5" s="18" t="inlineStr">
        <is>
          <t>Activity</t>
        </is>
      </c>
      <c r="C5" s="18" t="inlineStr">
        <is>
          <t>Notificar</t>
        </is>
      </c>
      <c r="D5" s="20" t="n">
        <v>1</v>
      </c>
      <c r="E5" s="21" t="n">
        <v>100</v>
      </c>
      <c r="F5" s="20" t="n">
        <v>0</v>
      </c>
      <c r="G5" s="20" t="n">
        <v>0</v>
      </c>
      <c r="H5" s="7">
        <f>IF(B5="","",IFERROR(VLOOKUP(B5,TIPO_UNIDAD,2,FALSE),1))</f>
        <v/>
      </c>
      <c r="I5" s="23">
        <f>IF(OR(A5="",B5=""),"",IF(B5="Activity",D5*(E5/100)*(1+N(F5)+N(G5)),D5*(E5/100)*H5))</f>
        <v/>
      </c>
    </row>
    <row r="6" ht="18" customHeight="1">
      <c r="A6" s="18" t="inlineStr">
        <is>
          <t>Pago interbancario</t>
        </is>
      </c>
      <c r="B6" s="18" t="inlineStr">
        <is>
          <t>Timer / timeout SDK</t>
        </is>
      </c>
      <c r="C6" s="18" t="inlineStr">
        <is>
          <t>Espera SLA / AwaitWithTimeout</t>
        </is>
      </c>
      <c r="D6" s="20" t="n">
        <v>1</v>
      </c>
      <c r="E6" s="21" t="n">
        <v>15</v>
      </c>
      <c r="F6" s="20" t="n">
        <v>0</v>
      </c>
      <c r="G6" s="20" t="n">
        <v>0</v>
      </c>
      <c r="H6" s="7">
        <f>IF(B6="","",IFERROR(VLOOKUP(B6,TIPO_UNIDAD,2,FALSE),1))</f>
        <v/>
      </c>
      <c r="I6" s="23">
        <f>IF(OR(A6="",B6=""),"",IF(B6="Activity",D6*(E6/100)*(1+N(F6)+N(G6)),D6*(E6/100)*H6))</f>
        <v/>
      </c>
    </row>
    <row r="7" ht="18" customHeight="1">
      <c r="A7" s="18" t="inlineStr">
        <is>
          <t>Pago interbancario</t>
        </is>
      </c>
      <c r="B7" s="18" t="inlineStr">
        <is>
          <t>Signal</t>
        </is>
      </c>
      <c r="C7" s="18" t="inlineStr">
        <is>
          <t>Confirmación manual</t>
        </is>
      </c>
      <c r="D7" s="20" t="n">
        <v>1</v>
      </c>
      <c r="E7" s="21" t="n">
        <v>8</v>
      </c>
      <c r="F7" s="20" t="n">
        <v>0</v>
      </c>
      <c r="G7" s="20" t="n">
        <v>0</v>
      </c>
      <c r="H7" s="7">
        <f>IF(B7="","",IFERROR(VLOOKUP(B7,TIPO_UNIDAD,2,FALSE),1))</f>
        <v/>
      </c>
      <c r="I7" s="23">
        <f>IF(OR(A7="",B7=""),"",IF(B7="Activity",D7*(E7/100)*(1+N(F7)+N(G7)),D7*(E7/100)*H7))</f>
        <v/>
      </c>
    </row>
    <row r="8" ht="18" customHeight="1">
      <c r="A8" s="18" t="inlineStr">
        <is>
          <t>Pago interbancario</t>
        </is>
      </c>
      <c r="B8" s="18" t="inlineStr">
        <is>
          <t>Query</t>
        </is>
      </c>
      <c r="C8" s="18" t="inlineStr">
        <is>
          <t>Consulta estado UI</t>
        </is>
      </c>
      <c r="D8" s="20" t="n">
        <v>2</v>
      </c>
      <c r="E8" s="21" t="n">
        <v>40</v>
      </c>
      <c r="F8" s="20" t="n">
        <v>0</v>
      </c>
      <c r="G8" s="20" t="n">
        <v>0</v>
      </c>
      <c r="H8" s="7">
        <f>IF(B8="","",IFERROR(VLOOKUP(B8,TIPO_UNIDAD,2,FALSE),1))</f>
        <v/>
      </c>
      <c r="I8" s="23">
        <f>IF(OR(A8="",B8=""),"",IF(B8="Activity",D8*(E8/100)*(1+N(F8)+N(G8)),D8*(E8/100)*H8))</f>
        <v/>
      </c>
    </row>
    <row r="9" ht="18" customHeight="1">
      <c r="A9" s="18" t="inlineStr">
        <is>
          <t>Alta de cliente</t>
        </is>
      </c>
      <c r="B9" s="18" t="inlineStr">
        <is>
          <t>Activity</t>
        </is>
      </c>
      <c r="C9" s="18" t="inlineStr">
        <is>
          <t>KYC</t>
        </is>
      </c>
      <c r="D9" s="20" t="n">
        <v>1</v>
      </c>
      <c r="E9" s="21" t="n">
        <v>100</v>
      </c>
      <c r="F9" s="20" t="n">
        <v>1</v>
      </c>
      <c r="G9" s="20" t="n">
        <v>12</v>
      </c>
      <c r="H9" s="7">
        <f>IF(B9="","",IFERROR(VLOOKUP(B9,TIPO_UNIDAD,2,FALSE),1))</f>
        <v/>
      </c>
      <c r="I9" s="23">
        <f>IF(OR(A9="",B9=""),"",IF(B9="Activity",D9*(E9/100)*(1+N(F9)+N(G9)),D9*(E9/100)*H9))</f>
        <v/>
      </c>
    </row>
    <row r="10" ht="18" customHeight="1">
      <c r="A10" s="18" t="inlineStr">
        <is>
          <t>Alta de cliente</t>
        </is>
      </c>
      <c r="B10" s="18" t="inlineStr">
        <is>
          <t>Activity</t>
        </is>
      </c>
      <c r="C10" s="18" t="inlineStr">
        <is>
          <t>Crear producto</t>
        </is>
      </c>
      <c r="D10" s="20" t="n">
        <v>1</v>
      </c>
      <c r="E10" s="21" t="n">
        <v>85</v>
      </c>
      <c r="F10" s="20" t="n">
        <v>0.2</v>
      </c>
      <c r="G10" s="20" t="n">
        <v>2</v>
      </c>
      <c r="H10" s="7">
        <f>IF(B10="","",IFERROR(VLOOKUP(B10,TIPO_UNIDAD,2,FALSE),1))</f>
        <v/>
      </c>
      <c r="I10" s="23">
        <f>IF(OR(A10="",B10=""),"",IF(B10="Activity",D10*(E10/100)*(1+N(F10)+N(G10)),D10*(E10/100)*H10))</f>
        <v/>
      </c>
    </row>
    <row r="11" ht="18" customHeight="1">
      <c r="A11" s="18" t="inlineStr">
        <is>
          <t>Alta de cliente</t>
        </is>
      </c>
      <c r="B11" s="18" t="inlineStr">
        <is>
          <t>Timer / timeout SDK</t>
        </is>
      </c>
      <c r="C11" s="18" t="inlineStr">
        <is>
          <t>Espera documentos</t>
        </is>
      </c>
      <c r="D11" s="20" t="n">
        <v>1</v>
      </c>
      <c r="E11" s="21" t="n">
        <v>30</v>
      </c>
      <c r="F11" s="20" t="n">
        <v>0</v>
      </c>
      <c r="G11" s="20" t="n">
        <v>0</v>
      </c>
      <c r="H11" s="7">
        <f>IF(B11="","",IFERROR(VLOOKUP(B11,TIPO_UNIDAD,2,FALSE),1))</f>
        <v/>
      </c>
      <c r="I11" s="23">
        <f>IF(OR(A11="",B11=""),"",IF(B11="Activity",D11*(E11/100)*(1+N(F11)+N(G11)),D11*(E11/100)*H11))</f>
        <v/>
      </c>
    </row>
    <row r="12" ht="18" customHeight="1">
      <c r="A12" s="18" t="inlineStr">
        <is>
          <t>Alta de cliente</t>
        </is>
      </c>
      <c r="B12" s="18" t="inlineStr">
        <is>
          <t>Signal</t>
        </is>
      </c>
      <c r="C12" s="18" t="inlineStr">
        <is>
          <t>Documentos listos</t>
        </is>
      </c>
      <c r="D12" s="20" t="n">
        <v>1</v>
      </c>
      <c r="E12" s="21" t="n">
        <v>30</v>
      </c>
      <c r="F12" s="20" t="n">
        <v>0</v>
      </c>
      <c r="G12" s="20" t="n">
        <v>0</v>
      </c>
      <c r="H12" s="7">
        <f>IF(B12="","",IFERROR(VLOOKUP(B12,TIPO_UNIDAD,2,FALSE),1))</f>
        <v/>
      </c>
      <c r="I12" s="23">
        <f>IF(OR(A12="",B12=""),"",IF(B12="Activity",D12*(E12/100)*(1+N(F12)+N(G12)),D12*(E12/100)*H12))</f>
        <v/>
      </c>
    </row>
    <row r="13" ht="18" customHeight="1">
      <c r="A13" s="18" t="inlineStr">
        <is>
          <t>Alta de cliente</t>
        </is>
      </c>
      <c r="B13" s="18" t="inlineStr">
        <is>
          <t>Child (hijo NO listado)</t>
        </is>
      </c>
      <c r="C13" s="18" t="inlineStr">
        <is>
          <t>Onboarding cards (no listado)</t>
        </is>
      </c>
      <c r="D13" s="20" t="n">
        <v>1</v>
      </c>
      <c r="E13" s="21" t="n">
        <v>60</v>
      </c>
      <c r="F13" s="20" t="n">
        <v>0</v>
      </c>
      <c r="G13" s="20" t="n">
        <v>0</v>
      </c>
      <c r="H13" s="7">
        <f>IF(B13="","",IFERROR(VLOOKUP(B13,TIPO_UNIDAD,2,FALSE),1))</f>
        <v/>
      </c>
      <c r="I13" s="23">
        <f>IF(OR(A13="",B13=""),"",IF(B13="Activity",D13*(E13/100)*(1+N(F13)+N(G13)),D13*(E13/100)*H13))</f>
        <v/>
      </c>
    </row>
    <row r="14" ht="18" customHeight="1">
      <c r="A14" s="18" t="n"/>
      <c r="B14" s="18" t="n"/>
      <c r="C14" s="18" t="n"/>
      <c r="D14" s="20" t="n"/>
      <c r="E14" s="21" t="n"/>
      <c r="F14" s="20" t="n"/>
      <c r="G14" s="20" t="n"/>
      <c r="H14" s="7">
        <f>IF(B14="","",IFERROR(VLOOKUP(B14,TIPO_UNIDAD,2,FALSE),1))</f>
        <v/>
      </c>
      <c r="I14" s="23">
        <f>IF(OR(A14="",B14=""),"",IF(B14="Activity",D14*(E14/100)*(1+N(F14)+N(G14)),D14*(E14/100)*H14))</f>
        <v/>
      </c>
    </row>
    <row r="15" ht="18" customHeight="1">
      <c r="A15" s="18" t="n"/>
      <c r="B15" s="18" t="n"/>
      <c r="C15" s="18" t="n"/>
      <c r="D15" s="20" t="n"/>
      <c r="E15" s="21" t="n"/>
      <c r="F15" s="20" t="n"/>
      <c r="G15" s="20" t="n"/>
      <c r="H15" s="7">
        <f>IF(B15="","",IFERROR(VLOOKUP(B15,TIPO_UNIDAD,2,FALSE),1))</f>
        <v/>
      </c>
      <c r="I15" s="23">
        <f>IF(OR(A15="",B15=""),"",IF(B15="Activity",D15*(E15/100)*(1+N(F15)+N(G15)),D15*(E15/100)*H15))</f>
        <v/>
      </c>
    </row>
    <row r="16" ht="18" customHeight="1">
      <c r="A16" s="18" t="n"/>
      <c r="B16" s="18" t="n"/>
      <c r="C16" s="18" t="n"/>
      <c r="D16" s="20" t="n"/>
      <c r="E16" s="21" t="n"/>
      <c r="F16" s="20" t="n"/>
      <c r="G16" s="20" t="n"/>
      <c r="H16" s="7">
        <f>IF(B16="","",IFERROR(VLOOKUP(B16,TIPO_UNIDAD,2,FALSE),1))</f>
        <v/>
      </c>
      <c r="I16" s="23">
        <f>IF(OR(A16="",B16=""),"",IF(B16="Activity",D16*(E16/100)*(1+N(F16)+N(G16)),D16*(E16/100)*H16))</f>
        <v/>
      </c>
    </row>
    <row r="17" ht="18" customHeight="1">
      <c r="A17" s="18" t="n"/>
      <c r="B17" s="18" t="n"/>
      <c r="C17" s="18" t="n"/>
      <c r="D17" s="20" t="n"/>
      <c r="E17" s="21" t="n"/>
      <c r="F17" s="20" t="n"/>
      <c r="G17" s="20" t="n"/>
      <c r="H17" s="7">
        <f>IF(B17="","",IFERROR(VLOOKUP(B17,TIPO_UNIDAD,2,FALSE),1))</f>
        <v/>
      </c>
      <c r="I17" s="23">
        <f>IF(OR(A17="",B17=""),"",IF(B17="Activity",D17*(E17/100)*(1+N(F17)+N(G17)),D17*(E17/100)*H17))</f>
        <v/>
      </c>
    </row>
    <row r="18" ht="18" customHeight="1">
      <c r="A18" s="18" t="n"/>
      <c r="B18" s="18" t="n"/>
      <c r="C18" s="18" t="n"/>
      <c r="D18" s="20" t="n"/>
      <c r="E18" s="21" t="n"/>
      <c r="F18" s="20" t="n"/>
      <c r="G18" s="20" t="n"/>
      <c r="H18" s="7">
        <f>IF(B18="","",IFERROR(VLOOKUP(B18,TIPO_UNIDAD,2,FALSE),1))</f>
        <v/>
      </c>
      <c r="I18" s="23">
        <f>IF(OR(A18="",B18=""),"",IF(B18="Activity",D18*(E18/100)*(1+N(F18)+N(G18)),D18*(E18/100)*H18))</f>
        <v/>
      </c>
    </row>
    <row r="19" ht="18" customHeight="1">
      <c r="A19" s="18" t="n"/>
      <c r="B19" s="18" t="n"/>
      <c r="C19" s="18" t="n"/>
      <c r="D19" s="20" t="n"/>
      <c r="E19" s="21" t="n"/>
      <c r="F19" s="20" t="n"/>
      <c r="G19" s="20" t="n"/>
      <c r="H19" s="7">
        <f>IF(B19="","",IFERROR(VLOOKUP(B19,TIPO_UNIDAD,2,FALSE),1))</f>
        <v/>
      </c>
      <c r="I19" s="23">
        <f>IF(OR(A19="",B19=""),"",IF(B19="Activity",D19*(E19/100)*(1+N(F19)+N(G19)),D19*(E19/100)*H19))</f>
        <v/>
      </c>
    </row>
    <row r="20" ht="18" customHeight="1">
      <c r="A20" s="18" t="n"/>
      <c r="B20" s="18" t="n"/>
      <c r="C20" s="18" t="n"/>
      <c r="D20" s="20" t="n"/>
      <c r="E20" s="21" t="n"/>
      <c r="F20" s="20" t="n"/>
      <c r="G20" s="20" t="n"/>
      <c r="H20" s="7">
        <f>IF(B20="","",IFERROR(VLOOKUP(B20,TIPO_UNIDAD,2,FALSE),1))</f>
        <v/>
      </c>
      <c r="I20" s="23">
        <f>IF(OR(A20="",B20=""),"",IF(B20="Activity",D20*(E20/100)*(1+N(F20)+N(G20)),D20*(E20/100)*H20))</f>
        <v/>
      </c>
    </row>
    <row r="21" ht="18" customHeight="1">
      <c r="A21" s="18" t="n"/>
      <c r="B21" s="18" t="n"/>
      <c r="C21" s="18" t="n"/>
      <c r="D21" s="20" t="n"/>
      <c r="E21" s="21" t="n"/>
      <c r="F21" s="20" t="n"/>
      <c r="G21" s="20" t="n"/>
      <c r="H21" s="7">
        <f>IF(B21="","",IFERROR(VLOOKUP(B21,TIPO_UNIDAD,2,FALSE),1))</f>
        <v/>
      </c>
      <c r="I21" s="23">
        <f>IF(OR(A21="",B21=""),"",IF(B21="Activity",D21*(E21/100)*(1+N(F21)+N(G21)),D21*(E21/100)*H21))</f>
        <v/>
      </c>
    </row>
    <row r="22" ht="18" customHeight="1">
      <c r="A22" s="18" t="n"/>
      <c r="B22" s="18" t="n"/>
      <c r="C22" s="18" t="n"/>
      <c r="D22" s="20" t="n"/>
      <c r="E22" s="21" t="n"/>
      <c r="F22" s="20" t="n"/>
      <c r="G22" s="20" t="n"/>
      <c r="H22" s="7">
        <f>IF(B22="","",IFERROR(VLOOKUP(B22,TIPO_UNIDAD,2,FALSE),1))</f>
        <v/>
      </c>
      <c r="I22" s="23">
        <f>IF(OR(A22="",B22=""),"",IF(B22="Activity",D22*(E22/100)*(1+N(F22)+N(G22)),D22*(E22/100)*H22))</f>
        <v/>
      </c>
    </row>
    <row r="23" ht="18" customHeight="1">
      <c r="A23" s="18" t="n"/>
      <c r="B23" s="18" t="n"/>
      <c r="C23" s="18" t="n"/>
      <c r="D23" s="20" t="n"/>
      <c r="E23" s="21" t="n"/>
      <c r="F23" s="20" t="n"/>
      <c r="G23" s="20" t="n"/>
      <c r="H23" s="7">
        <f>IF(B23="","",IFERROR(VLOOKUP(B23,TIPO_UNIDAD,2,FALSE),1))</f>
        <v/>
      </c>
      <c r="I23" s="23">
        <f>IF(OR(A23="",B23=""),"",IF(B23="Activity",D23*(E23/100)*(1+N(F23)+N(G23)),D23*(E23/100)*H23))</f>
        <v/>
      </c>
    </row>
    <row r="24" ht="18" customHeight="1">
      <c r="A24" s="18" t="n"/>
      <c r="B24" s="18" t="n"/>
      <c r="C24" s="18" t="n"/>
      <c r="D24" s="20" t="n"/>
      <c r="E24" s="21" t="n"/>
      <c r="F24" s="20" t="n"/>
      <c r="G24" s="20" t="n"/>
      <c r="H24" s="7">
        <f>IF(B24="","",IFERROR(VLOOKUP(B24,TIPO_UNIDAD,2,FALSE),1))</f>
        <v/>
      </c>
      <c r="I24" s="23">
        <f>IF(OR(A24="",B24=""),"",IF(B24="Activity",D24*(E24/100)*(1+N(F24)+N(G24)),D24*(E24/100)*H24))</f>
        <v/>
      </c>
    </row>
    <row r="25" ht="18" customHeight="1">
      <c r="A25" s="18" t="n"/>
      <c r="B25" s="18" t="n"/>
      <c r="C25" s="18" t="n"/>
      <c r="D25" s="20" t="n"/>
      <c r="E25" s="21" t="n"/>
      <c r="F25" s="20" t="n"/>
      <c r="G25" s="20" t="n"/>
      <c r="H25" s="7">
        <f>IF(B25="","",IFERROR(VLOOKUP(B25,TIPO_UNIDAD,2,FALSE),1))</f>
        <v/>
      </c>
      <c r="I25" s="23">
        <f>IF(OR(A25="",B25=""),"",IF(B25="Activity",D25*(E25/100)*(1+N(F25)+N(G25)),D25*(E25/100)*H25))</f>
        <v/>
      </c>
    </row>
    <row r="26" ht="18" customHeight="1">
      <c r="A26" s="18" t="n"/>
      <c r="B26" s="18" t="n"/>
      <c r="C26" s="18" t="n"/>
      <c r="D26" s="20" t="n"/>
      <c r="E26" s="21" t="n"/>
      <c r="F26" s="20" t="n"/>
      <c r="G26" s="20" t="n"/>
      <c r="H26" s="7">
        <f>IF(B26="","",IFERROR(VLOOKUP(B26,TIPO_UNIDAD,2,FALSE),1))</f>
        <v/>
      </c>
      <c r="I26" s="23">
        <f>IF(OR(A26="",B26=""),"",IF(B26="Activity",D26*(E26/100)*(1+N(F26)+N(G26)),D26*(E26/100)*H26))</f>
        <v/>
      </c>
    </row>
    <row r="27" ht="18" customHeight="1">
      <c r="A27" s="18" t="n"/>
      <c r="B27" s="18" t="n"/>
      <c r="C27" s="18" t="n"/>
      <c r="D27" s="20" t="n"/>
      <c r="E27" s="21" t="n"/>
      <c r="F27" s="20" t="n"/>
      <c r="G27" s="20" t="n"/>
      <c r="H27" s="7">
        <f>IF(B27="","",IFERROR(VLOOKUP(B27,TIPO_UNIDAD,2,FALSE),1))</f>
        <v/>
      </c>
      <c r="I27" s="23">
        <f>IF(OR(A27="",B27=""),"",IF(B27="Activity",D27*(E27/100)*(1+N(F27)+N(G27)),D27*(E27/100)*H27))</f>
        <v/>
      </c>
    </row>
    <row r="28" ht="18" customHeight="1">
      <c r="A28" s="18" t="n"/>
      <c r="B28" s="18" t="n"/>
      <c r="C28" s="18" t="n"/>
      <c r="D28" s="20" t="n"/>
      <c r="E28" s="21" t="n"/>
      <c r="F28" s="20" t="n"/>
      <c r="G28" s="20" t="n"/>
      <c r="H28" s="7">
        <f>IF(B28="","",IFERROR(VLOOKUP(B28,TIPO_UNIDAD,2,FALSE),1))</f>
        <v/>
      </c>
      <c r="I28" s="23">
        <f>IF(OR(A28="",B28=""),"",IF(B28="Activity",D28*(E28/100)*(1+N(F28)+N(G28)),D28*(E28/100)*H28))</f>
        <v/>
      </c>
    </row>
    <row r="29" ht="18" customHeight="1">
      <c r="A29" s="18" t="n"/>
      <c r="B29" s="18" t="n"/>
      <c r="C29" s="18" t="n"/>
      <c r="D29" s="20" t="n"/>
      <c r="E29" s="21" t="n"/>
      <c r="F29" s="20" t="n"/>
      <c r="G29" s="20" t="n"/>
      <c r="H29" s="7">
        <f>IF(B29="","",IFERROR(VLOOKUP(B29,TIPO_UNIDAD,2,FALSE),1))</f>
        <v/>
      </c>
      <c r="I29" s="23">
        <f>IF(OR(A29="",B29=""),"",IF(B29="Activity",D29*(E29/100)*(1+N(F29)+N(G29)),D29*(E29/100)*H29))</f>
        <v/>
      </c>
    </row>
    <row r="30" ht="18" customHeight="1">
      <c r="A30" s="18" t="n"/>
      <c r="B30" s="18" t="n"/>
      <c r="C30" s="18" t="n"/>
      <c r="D30" s="20" t="n"/>
      <c r="E30" s="21" t="n"/>
      <c r="F30" s="20" t="n"/>
      <c r="G30" s="20" t="n"/>
      <c r="H30" s="7">
        <f>IF(B30="","",IFERROR(VLOOKUP(B30,TIPO_UNIDAD,2,FALSE),1))</f>
        <v/>
      </c>
      <c r="I30" s="23">
        <f>IF(OR(A30="",B30=""),"",IF(B30="Activity",D30*(E30/100)*(1+N(F30)+N(G30)),D30*(E30/100)*H30))</f>
        <v/>
      </c>
    </row>
    <row r="31" ht="18" customHeight="1">
      <c r="A31" s="18" t="n"/>
      <c r="B31" s="18" t="n"/>
      <c r="C31" s="18" t="n"/>
      <c r="D31" s="20" t="n"/>
      <c r="E31" s="21" t="n"/>
      <c r="F31" s="20" t="n"/>
      <c r="G31" s="20" t="n"/>
      <c r="H31" s="7">
        <f>IF(B31="","",IFERROR(VLOOKUP(B31,TIPO_UNIDAD,2,FALSE),1))</f>
        <v/>
      </c>
      <c r="I31" s="23">
        <f>IF(OR(A31="",B31=""),"",IF(B31="Activity",D31*(E31/100)*(1+N(F31)+N(G31)),D31*(E31/100)*H31))</f>
        <v/>
      </c>
    </row>
    <row r="32" ht="18" customHeight="1">
      <c r="A32" s="18" t="n"/>
      <c r="B32" s="18" t="n"/>
      <c r="C32" s="18" t="n"/>
      <c r="D32" s="20" t="n"/>
      <c r="E32" s="21" t="n"/>
      <c r="F32" s="20" t="n"/>
      <c r="G32" s="20" t="n"/>
      <c r="H32" s="7">
        <f>IF(B32="","",IFERROR(VLOOKUP(B32,TIPO_UNIDAD,2,FALSE),1))</f>
        <v/>
      </c>
      <c r="I32" s="23">
        <f>IF(OR(A32="",B32=""),"",IF(B32="Activity",D32*(E32/100)*(1+N(F32)+N(G32)),D32*(E32/100)*H32))</f>
        <v/>
      </c>
    </row>
    <row r="33" ht="18" customHeight="1">
      <c r="A33" s="18" t="n"/>
      <c r="B33" s="18" t="n"/>
      <c r="C33" s="18" t="n"/>
      <c r="D33" s="20" t="n"/>
      <c r="E33" s="21" t="n"/>
      <c r="F33" s="20" t="n"/>
      <c r="G33" s="20" t="n"/>
      <c r="H33" s="7">
        <f>IF(B33="","",IFERROR(VLOOKUP(B33,TIPO_UNIDAD,2,FALSE),1))</f>
        <v/>
      </c>
      <c r="I33" s="23">
        <f>IF(OR(A33="",B33=""),"",IF(B33="Activity",D33*(E33/100)*(1+N(F33)+N(G33)),D33*(E33/100)*H33))</f>
        <v/>
      </c>
    </row>
    <row r="34" ht="18" customHeight="1">
      <c r="A34" s="18" t="n"/>
      <c r="B34" s="18" t="n"/>
      <c r="C34" s="18" t="n"/>
      <c r="D34" s="20" t="n"/>
      <c r="E34" s="21" t="n"/>
      <c r="F34" s="20" t="n"/>
      <c r="G34" s="20" t="n"/>
      <c r="H34" s="7">
        <f>IF(B34="","",IFERROR(VLOOKUP(B34,TIPO_UNIDAD,2,FALSE),1))</f>
        <v/>
      </c>
      <c r="I34" s="23">
        <f>IF(OR(A34="",B34=""),"",IF(B34="Activity",D34*(E34/100)*(1+N(F34)+N(G34)),D34*(E34/100)*H34))</f>
        <v/>
      </c>
    </row>
    <row r="35" ht="18" customHeight="1">
      <c r="A35" s="18" t="n"/>
      <c r="B35" s="18" t="n"/>
      <c r="C35" s="18" t="n"/>
      <c r="D35" s="20" t="n"/>
      <c r="E35" s="21" t="n"/>
      <c r="F35" s="20" t="n"/>
      <c r="G35" s="20" t="n"/>
      <c r="H35" s="7">
        <f>IF(B35="","",IFERROR(VLOOKUP(B35,TIPO_UNIDAD,2,FALSE),1))</f>
        <v/>
      </c>
      <c r="I35" s="23">
        <f>IF(OR(A35="",B35=""),"",IF(B35="Activity",D35*(E35/100)*(1+N(F35)+N(G35)),D35*(E35/100)*H35))</f>
        <v/>
      </c>
    </row>
    <row r="36" ht="18" customHeight="1">
      <c r="A36" s="18" t="n"/>
      <c r="B36" s="18" t="n"/>
      <c r="C36" s="18" t="n"/>
      <c r="D36" s="20" t="n"/>
      <c r="E36" s="21" t="n"/>
      <c r="F36" s="20" t="n"/>
      <c r="G36" s="20" t="n"/>
      <c r="H36" s="7">
        <f>IF(B36="","",IFERROR(VLOOKUP(B36,TIPO_UNIDAD,2,FALSE),1))</f>
        <v/>
      </c>
      <c r="I36" s="23">
        <f>IF(OR(A36="",B36=""),"",IF(B36="Activity",D36*(E36/100)*(1+N(F36)+N(G36)),D36*(E36/100)*H36))</f>
        <v/>
      </c>
    </row>
    <row r="37" ht="18" customHeight="1">
      <c r="A37" s="18" t="n"/>
      <c r="B37" s="18" t="n"/>
      <c r="C37" s="18" t="n"/>
      <c r="D37" s="20" t="n"/>
      <c r="E37" s="21" t="n"/>
      <c r="F37" s="20" t="n"/>
      <c r="G37" s="20" t="n"/>
      <c r="H37" s="7">
        <f>IF(B37="","",IFERROR(VLOOKUP(B37,TIPO_UNIDAD,2,FALSE),1))</f>
        <v/>
      </c>
      <c r="I37" s="23">
        <f>IF(OR(A37="",B37=""),"",IF(B37="Activity",D37*(E37/100)*(1+N(F37)+N(G37)),D37*(E37/100)*H37))</f>
        <v/>
      </c>
    </row>
    <row r="38" ht="18" customHeight="1">
      <c r="A38" s="18" t="n"/>
      <c r="B38" s="18" t="n"/>
      <c r="C38" s="18" t="n"/>
      <c r="D38" s="20" t="n"/>
      <c r="E38" s="21" t="n"/>
      <c r="F38" s="20" t="n"/>
      <c r="G38" s="20" t="n"/>
      <c r="H38" s="7">
        <f>IF(B38="","",IFERROR(VLOOKUP(B38,TIPO_UNIDAD,2,FALSE),1))</f>
        <v/>
      </c>
      <c r="I38" s="23">
        <f>IF(OR(A38="",B38=""),"",IF(B38="Activity",D38*(E38/100)*(1+N(F38)+N(G38)),D38*(E38/100)*H38))</f>
        <v/>
      </c>
    </row>
    <row r="39" ht="18" customHeight="1">
      <c r="A39" s="18" t="n"/>
      <c r="B39" s="18" t="n"/>
      <c r="C39" s="18" t="n"/>
      <c r="D39" s="20" t="n"/>
      <c r="E39" s="21" t="n"/>
      <c r="F39" s="20" t="n"/>
      <c r="G39" s="20" t="n"/>
      <c r="H39" s="7">
        <f>IF(B39="","",IFERROR(VLOOKUP(B39,TIPO_UNIDAD,2,FALSE),1))</f>
        <v/>
      </c>
      <c r="I39" s="23">
        <f>IF(OR(A39="",B39=""),"",IF(B39="Activity",D39*(E39/100)*(1+N(F39)+N(G39)),D39*(E39/100)*H39))</f>
        <v/>
      </c>
    </row>
    <row r="40" ht="18" customHeight="1">
      <c r="A40" s="18" t="n"/>
      <c r="B40" s="18" t="n"/>
      <c r="C40" s="18" t="n"/>
      <c r="D40" s="20" t="n"/>
      <c r="E40" s="21" t="n"/>
      <c r="F40" s="20" t="n"/>
      <c r="G40" s="20" t="n"/>
      <c r="H40" s="7">
        <f>IF(B40="","",IFERROR(VLOOKUP(B40,TIPO_UNIDAD,2,FALSE),1))</f>
        <v/>
      </c>
      <c r="I40" s="23">
        <f>IF(OR(A40="",B40=""),"",IF(B40="Activity",D40*(E40/100)*(1+N(F40)+N(G40)),D40*(E40/100)*H40))</f>
        <v/>
      </c>
    </row>
    <row r="41" ht="18" customHeight="1">
      <c r="A41" s="18" t="n"/>
      <c r="B41" s="18" t="n"/>
      <c r="C41" s="18" t="n"/>
      <c r="D41" s="20" t="n"/>
      <c r="E41" s="21" t="n"/>
      <c r="F41" s="20" t="n"/>
      <c r="G41" s="20" t="n"/>
      <c r="H41" s="7">
        <f>IF(B41="","",IFERROR(VLOOKUP(B41,TIPO_UNIDAD,2,FALSE),1))</f>
        <v/>
      </c>
      <c r="I41" s="23">
        <f>IF(OR(A41="",B41=""),"",IF(B41="Activity",D41*(E41/100)*(1+N(F41)+N(G41)),D41*(E41/100)*H41))</f>
        <v/>
      </c>
    </row>
    <row r="42" ht="18" customHeight="1">
      <c r="A42" s="18" t="n"/>
      <c r="B42" s="18" t="n"/>
      <c r="C42" s="18" t="n"/>
      <c r="D42" s="20" t="n"/>
      <c r="E42" s="21" t="n"/>
      <c r="F42" s="20" t="n"/>
      <c r="G42" s="20" t="n"/>
      <c r="H42" s="7">
        <f>IF(B42="","",IFERROR(VLOOKUP(B42,TIPO_UNIDAD,2,FALSE),1))</f>
        <v/>
      </c>
      <c r="I42" s="23">
        <f>IF(OR(A42="",B42=""),"",IF(B42="Activity",D42*(E42/100)*(1+N(F42)+N(G42)),D42*(E42/100)*H42))</f>
        <v/>
      </c>
    </row>
    <row r="43" ht="18" customHeight="1">
      <c r="A43" s="18" t="n"/>
      <c r="B43" s="18" t="n"/>
      <c r="C43" s="18" t="n"/>
      <c r="D43" s="20" t="n"/>
      <c r="E43" s="21" t="n"/>
      <c r="F43" s="20" t="n"/>
      <c r="G43" s="20" t="n"/>
      <c r="H43" s="7">
        <f>IF(B43="","",IFERROR(VLOOKUP(B43,TIPO_UNIDAD,2,FALSE),1))</f>
        <v/>
      </c>
      <c r="I43" s="23">
        <f>IF(OR(A43="",B43=""),"",IF(B43="Activity",D43*(E43/100)*(1+N(F43)+N(G43)),D43*(E43/100)*H43))</f>
        <v/>
      </c>
    </row>
    <row r="44" ht="18" customHeight="1">
      <c r="A44" s="18" t="n"/>
      <c r="B44" s="18" t="n"/>
      <c r="C44" s="18" t="n"/>
      <c r="D44" s="20" t="n"/>
      <c r="E44" s="21" t="n"/>
      <c r="F44" s="20" t="n"/>
      <c r="G44" s="20" t="n"/>
      <c r="H44" s="7">
        <f>IF(B44="","",IFERROR(VLOOKUP(B44,TIPO_UNIDAD,2,FALSE),1))</f>
        <v/>
      </c>
      <c r="I44" s="23">
        <f>IF(OR(A44="",B44=""),"",IF(B44="Activity",D44*(E44/100)*(1+N(F44)+N(G44)),D44*(E44/100)*H44))</f>
        <v/>
      </c>
    </row>
    <row r="45" ht="18" customHeight="1">
      <c r="A45" s="18" t="n"/>
      <c r="B45" s="18" t="n"/>
      <c r="C45" s="18" t="n"/>
      <c r="D45" s="20" t="n"/>
      <c r="E45" s="21" t="n"/>
      <c r="F45" s="20" t="n"/>
      <c r="G45" s="20" t="n"/>
      <c r="H45" s="7">
        <f>IF(B45="","",IFERROR(VLOOKUP(B45,TIPO_UNIDAD,2,FALSE),1))</f>
        <v/>
      </c>
      <c r="I45" s="23">
        <f>IF(OR(A45="",B45=""),"",IF(B45="Activity",D45*(E45/100)*(1+N(F45)+N(G45)),D45*(E45/100)*H45))</f>
        <v/>
      </c>
    </row>
    <row r="46" ht="18" customHeight="1">
      <c r="A46" s="18" t="n"/>
      <c r="B46" s="18" t="n"/>
      <c r="C46" s="18" t="n"/>
      <c r="D46" s="20" t="n"/>
      <c r="E46" s="21" t="n"/>
      <c r="F46" s="20" t="n"/>
      <c r="G46" s="20" t="n"/>
      <c r="H46" s="7">
        <f>IF(B46="","",IFERROR(VLOOKUP(B46,TIPO_UNIDAD,2,FALSE),1))</f>
        <v/>
      </c>
      <c r="I46" s="23">
        <f>IF(OR(A46="",B46=""),"",IF(B46="Activity",D46*(E46/100)*(1+N(F46)+N(G46)),D46*(E46/100)*H46))</f>
        <v/>
      </c>
    </row>
    <row r="47" ht="18" customHeight="1">
      <c r="A47" s="18" t="n"/>
      <c r="B47" s="18" t="n"/>
      <c r="C47" s="18" t="n"/>
      <c r="D47" s="20" t="n"/>
      <c r="E47" s="21" t="n"/>
      <c r="F47" s="20" t="n"/>
      <c r="G47" s="20" t="n"/>
      <c r="H47" s="7">
        <f>IF(B47="","",IFERROR(VLOOKUP(B47,TIPO_UNIDAD,2,FALSE),1))</f>
        <v/>
      </c>
      <c r="I47" s="23">
        <f>IF(OR(A47="",B47=""),"",IF(B47="Activity",D47*(E47/100)*(1+N(F47)+N(G47)),D47*(E47/100)*H47))</f>
        <v/>
      </c>
    </row>
    <row r="48" ht="18" customHeight="1">
      <c r="A48" s="18" t="n"/>
      <c r="B48" s="18" t="n"/>
      <c r="C48" s="18" t="n"/>
      <c r="D48" s="20" t="n"/>
      <c r="E48" s="21" t="n"/>
      <c r="F48" s="20" t="n"/>
      <c r="G48" s="20" t="n"/>
      <c r="H48" s="7">
        <f>IF(B48="","",IFERROR(VLOOKUP(B48,TIPO_UNIDAD,2,FALSE),1))</f>
        <v/>
      </c>
      <c r="I48" s="23">
        <f>IF(OR(A48="",B48=""),"",IF(B48="Activity",D48*(E48/100)*(1+N(F48)+N(G48)),D48*(E48/100)*H48))</f>
        <v/>
      </c>
    </row>
    <row r="49" ht="18" customHeight="1">
      <c r="A49" s="18" t="n"/>
      <c r="B49" s="18" t="n"/>
      <c r="C49" s="18" t="n"/>
      <c r="D49" s="20" t="n"/>
      <c r="E49" s="21" t="n"/>
      <c r="F49" s="20" t="n"/>
      <c r="G49" s="20" t="n"/>
      <c r="H49" s="7">
        <f>IF(B49="","",IFERROR(VLOOKUP(B49,TIPO_UNIDAD,2,FALSE),1))</f>
        <v/>
      </c>
      <c r="I49" s="23">
        <f>IF(OR(A49="",B49=""),"",IF(B49="Activity",D49*(E49/100)*(1+N(F49)+N(G49)),D49*(E49/100)*H49))</f>
        <v/>
      </c>
    </row>
    <row r="50" ht="18" customHeight="1">
      <c r="A50" s="18" t="n"/>
      <c r="B50" s="18" t="n"/>
      <c r="C50" s="18" t="n"/>
      <c r="D50" s="20" t="n"/>
      <c r="E50" s="21" t="n"/>
      <c r="F50" s="20" t="n"/>
      <c r="G50" s="20" t="n"/>
      <c r="H50" s="7">
        <f>IF(B50="","",IFERROR(VLOOKUP(B50,TIPO_UNIDAD,2,FALSE),1))</f>
        <v/>
      </c>
      <c r="I50" s="23">
        <f>IF(OR(A50="",B50=""),"",IF(B50="Activity",D50*(E50/100)*(1+N(F50)+N(G50)),D50*(E50/100)*H50))</f>
        <v/>
      </c>
    </row>
    <row r="51" ht="18" customHeight="1">
      <c r="A51" s="18" t="n"/>
      <c r="B51" s="18" t="n"/>
      <c r="C51" s="18" t="n"/>
      <c r="D51" s="20" t="n"/>
      <c r="E51" s="21" t="n"/>
      <c r="F51" s="20" t="n"/>
      <c r="G51" s="20" t="n"/>
      <c r="H51" s="7">
        <f>IF(B51="","",IFERROR(VLOOKUP(B51,TIPO_UNIDAD,2,FALSE),1))</f>
        <v/>
      </c>
      <c r="I51" s="23">
        <f>IF(OR(A51="",B51=""),"",IF(B51="Activity",D51*(E51/100)*(1+N(F51)+N(G51)),D51*(E51/100)*H51))</f>
        <v/>
      </c>
    </row>
    <row r="52" ht="18" customHeight="1">
      <c r="A52" s="18" t="n"/>
      <c r="B52" s="18" t="n"/>
      <c r="C52" s="18" t="n"/>
      <c r="D52" s="20" t="n"/>
      <c r="E52" s="21" t="n"/>
      <c r="F52" s="20" t="n"/>
      <c r="G52" s="20" t="n"/>
      <c r="H52" s="7">
        <f>IF(B52="","",IFERROR(VLOOKUP(B52,TIPO_UNIDAD,2,FALSE),1))</f>
        <v/>
      </c>
      <c r="I52" s="23">
        <f>IF(OR(A52="",B52=""),"",IF(B52="Activity",D52*(E52/100)*(1+N(F52)+N(G52)),D52*(E52/100)*H52))</f>
        <v/>
      </c>
    </row>
    <row r="53" ht="18" customHeight="1">
      <c r="A53" s="18" t="n"/>
      <c r="B53" s="18" t="n"/>
      <c r="C53" s="18" t="n"/>
      <c r="D53" s="20" t="n"/>
      <c r="E53" s="21" t="n"/>
      <c r="F53" s="20" t="n"/>
      <c r="G53" s="20" t="n"/>
      <c r="H53" s="7">
        <f>IF(B53="","",IFERROR(VLOOKUP(B53,TIPO_UNIDAD,2,FALSE),1))</f>
        <v/>
      </c>
      <c r="I53" s="23">
        <f>IF(OR(A53="",B53=""),"",IF(B53="Activity",D53*(E53/100)*(1+N(F53)+N(G53)),D53*(E53/100)*H53))</f>
        <v/>
      </c>
    </row>
    <row r="54" ht="18" customHeight="1">
      <c r="A54" s="18" t="n"/>
      <c r="B54" s="18" t="n"/>
      <c r="C54" s="18" t="n"/>
      <c r="D54" s="20" t="n"/>
      <c r="E54" s="21" t="n"/>
      <c r="F54" s="20" t="n"/>
      <c r="G54" s="20" t="n"/>
      <c r="H54" s="7">
        <f>IF(B54="","",IFERROR(VLOOKUP(B54,TIPO_UNIDAD,2,FALSE),1))</f>
        <v/>
      </c>
      <c r="I54" s="23">
        <f>IF(OR(A54="",B54=""),"",IF(B54="Activity",D54*(E54/100)*(1+N(F54)+N(G54)),D54*(E54/100)*H54))</f>
        <v/>
      </c>
    </row>
    <row r="55" ht="18" customHeight="1">
      <c r="A55" s="18" t="n"/>
      <c r="B55" s="18" t="n"/>
      <c r="C55" s="18" t="n"/>
      <c r="D55" s="20" t="n"/>
      <c r="E55" s="21" t="n"/>
      <c r="F55" s="20" t="n"/>
      <c r="G55" s="20" t="n"/>
      <c r="H55" s="7">
        <f>IF(B55="","",IFERROR(VLOOKUP(B55,TIPO_UNIDAD,2,FALSE),1))</f>
        <v/>
      </c>
      <c r="I55" s="23">
        <f>IF(OR(A55="",B55=""),"",IF(B55="Activity",D55*(E55/100)*(1+N(F55)+N(G55)),D55*(E55/100)*H55))</f>
        <v/>
      </c>
    </row>
    <row r="56" ht="18" customHeight="1">
      <c r="A56" s="18" t="n"/>
      <c r="B56" s="18" t="n"/>
      <c r="C56" s="18" t="n"/>
      <c r="D56" s="20" t="n"/>
      <c r="E56" s="21" t="n"/>
      <c r="F56" s="20" t="n"/>
      <c r="G56" s="20" t="n"/>
      <c r="H56" s="7">
        <f>IF(B56="","",IFERROR(VLOOKUP(B56,TIPO_UNIDAD,2,FALSE),1))</f>
        <v/>
      </c>
      <c r="I56" s="23">
        <f>IF(OR(A56="",B56=""),"",IF(B56="Activity",D56*(E56/100)*(1+N(F56)+N(G56)),D56*(E56/100)*H56))</f>
        <v/>
      </c>
    </row>
    <row r="57" ht="18" customHeight="1">
      <c r="A57" s="18" t="n"/>
      <c r="B57" s="18" t="n"/>
      <c r="C57" s="18" t="n"/>
      <c r="D57" s="20" t="n"/>
      <c r="E57" s="21" t="n"/>
      <c r="F57" s="20" t="n"/>
      <c r="G57" s="20" t="n"/>
      <c r="H57" s="7">
        <f>IF(B57="","",IFERROR(VLOOKUP(B57,TIPO_UNIDAD,2,FALSE),1))</f>
        <v/>
      </c>
      <c r="I57" s="23">
        <f>IF(OR(A57="",B57=""),"",IF(B57="Activity",D57*(E57/100)*(1+N(F57)+N(G57)),D57*(E57/100)*H57))</f>
        <v/>
      </c>
    </row>
    <row r="58" ht="18" customHeight="1">
      <c r="A58" s="18" t="n"/>
      <c r="B58" s="18" t="n"/>
      <c r="C58" s="18" t="n"/>
      <c r="D58" s="20" t="n"/>
      <c r="E58" s="21" t="n"/>
      <c r="F58" s="20" t="n"/>
      <c r="G58" s="20" t="n"/>
      <c r="H58" s="7">
        <f>IF(B58="","",IFERROR(VLOOKUP(B58,TIPO_UNIDAD,2,FALSE),1))</f>
        <v/>
      </c>
      <c r="I58" s="23">
        <f>IF(OR(A58="",B58=""),"",IF(B58="Activity",D58*(E58/100)*(1+N(F58)+N(G58)),D58*(E58/100)*H58))</f>
        <v/>
      </c>
    </row>
    <row r="59" ht="18" customHeight="1">
      <c r="A59" s="18" t="n"/>
      <c r="B59" s="18" t="n"/>
      <c r="C59" s="18" t="n"/>
      <c r="D59" s="20" t="n"/>
      <c r="E59" s="21" t="n"/>
      <c r="F59" s="20" t="n"/>
      <c r="G59" s="20" t="n"/>
      <c r="H59" s="7">
        <f>IF(B59="","",IFERROR(VLOOKUP(B59,TIPO_UNIDAD,2,FALSE),1))</f>
        <v/>
      </c>
      <c r="I59" s="23">
        <f>IF(OR(A59="",B59=""),"",IF(B59="Activity",D59*(E59/100)*(1+N(F59)+N(G59)),D59*(E59/100)*H59))</f>
        <v/>
      </c>
    </row>
    <row r="60" ht="18" customHeight="1">
      <c r="A60" s="18" t="n"/>
      <c r="B60" s="18" t="n"/>
      <c r="C60" s="18" t="n"/>
      <c r="D60" s="20" t="n"/>
      <c r="E60" s="21" t="n"/>
      <c r="F60" s="20" t="n"/>
      <c r="G60" s="20" t="n"/>
      <c r="H60" s="7">
        <f>IF(B60="","",IFERROR(VLOOKUP(B60,TIPO_UNIDAD,2,FALSE),1))</f>
        <v/>
      </c>
      <c r="I60" s="23">
        <f>IF(OR(A60="",B60=""),"",IF(B60="Activity",D60*(E60/100)*(1+N(F60)+N(G60)),D60*(E60/100)*H60))</f>
        <v/>
      </c>
    </row>
    <row r="61" ht="18" customHeight="1">
      <c r="A61" s="18" t="n"/>
      <c r="B61" s="18" t="n"/>
      <c r="C61" s="18" t="n"/>
      <c r="D61" s="20" t="n"/>
      <c r="E61" s="21" t="n"/>
      <c r="F61" s="20" t="n"/>
      <c r="G61" s="20" t="n"/>
      <c r="H61" s="7">
        <f>IF(B61="","",IFERROR(VLOOKUP(B61,TIPO_UNIDAD,2,FALSE),1))</f>
        <v/>
      </c>
      <c r="I61" s="23">
        <f>IF(OR(A61="",B61=""),"",IF(B61="Activity",D61*(E61/100)*(1+N(F61)+N(G61)),D61*(E61/100)*H61))</f>
        <v/>
      </c>
    </row>
    <row r="62" ht="18" customHeight="1">
      <c r="A62" s="18" t="n"/>
      <c r="B62" s="18" t="n"/>
      <c r="C62" s="18" t="n"/>
      <c r="D62" s="20" t="n"/>
      <c r="E62" s="21" t="n"/>
      <c r="F62" s="20" t="n"/>
      <c r="G62" s="20" t="n"/>
      <c r="H62" s="7">
        <f>IF(B62="","",IFERROR(VLOOKUP(B62,TIPO_UNIDAD,2,FALSE),1))</f>
        <v/>
      </c>
      <c r="I62" s="23">
        <f>IF(OR(A62="",B62=""),"",IF(B62="Activity",D62*(E62/100)*(1+N(F62)+N(G62)),D62*(E62/100)*H62))</f>
        <v/>
      </c>
    </row>
    <row r="63" ht="18" customHeight="1">
      <c r="A63" s="18" t="n"/>
      <c r="B63" s="18" t="n"/>
      <c r="C63" s="18" t="n"/>
      <c r="D63" s="20" t="n"/>
      <c r="E63" s="21" t="n"/>
      <c r="F63" s="20" t="n"/>
      <c r="G63" s="20" t="n"/>
      <c r="H63" s="7">
        <f>IF(B63="","",IFERROR(VLOOKUP(B63,TIPO_UNIDAD,2,FALSE),1))</f>
        <v/>
      </c>
      <c r="I63" s="23">
        <f>IF(OR(A63="",B63=""),"",IF(B63="Activity",D63*(E63/100)*(1+N(F63)+N(G63)),D63*(E63/100)*H63))</f>
        <v/>
      </c>
    </row>
    <row r="64" ht="18" customHeight="1">
      <c r="A64" s="18" t="n"/>
      <c r="B64" s="18" t="n"/>
      <c r="C64" s="18" t="n"/>
      <c r="D64" s="20" t="n"/>
      <c r="E64" s="21" t="n"/>
      <c r="F64" s="20" t="n"/>
      <c r="G64" s="20" t="n"/>
      <c r="H64" s="7">
        <f>IF(B64="","",IFERROR(VLOOKUP(B64,TIPO_UNIDAD,2,FALSE),1))</f>
        <v/>
      </c>
      <c r="I64" s="23">
        <f>IF(OR(A64="",B64=""),"",IF(B64="Activity",D64*(E64/100)*(1+N(F64)+N(G64)),D64*(E64/100)*H64))</f>
        <v/>
      </c>
    </row>
    <row r="65" ht="18" customHeight="1">
      <c r="A65" s="18" t="n"/>
      <c r="B65" s="18" t="n"/>
      <c r="C65" s="18" t="n"/>
      <c r="D65" s="20" t="n"/>
      <c r="E65" s="21" t="n"/>
      <c r="F65" s="20" t="n"/>
      <c r="G65" s="20" t="n"/>
      <c r="H65" s="7">
        <f>IF(B65="","",IFERROR(VLOOKUP(B65,TIPO_UNIDAD,2,FALSE),1))</f>
        <v/>
      </c>
      <c r="I65" s="23">
        <f>IF(OR(A65="",B65=""),"",IF(B65="Activity",D65*(E65/100)*(1+N(F65)+N(G65)),D65*(E65/100)*H65))</f>
        <v/>
      </c>
    </row>
    <row r="66" ht="18" customHeight="1">
      <c r="A66" s="18" t="n"/>
      <c r="B66" s="18" t="n"/>
      <c r="C66" s="18" t="n"/>
      <c r="D66" s="20" t="n"/>
      <c r="E66" s="21" t="n"/>
      <c r="F66" s="20" t="n"/>
      <c r="G66" s="20" t="n"/>
      <c r="H66" s="7">
        <f>IF(B66="","",IFERROR(VLOOKUP(B66,TIPO_UNIDAD,2,FALSE),1))</f>
        <v/>
      </c>
      <c r="I66" s="23">
        <f>IF(OR(A66="",B66=""),"",IF(B66="Activity",D66*(E66/100)*(1+N(F66)+N(G66)),D66*(E66/100)*H66))</f>
        <v/>
      </c>
    </row>
    <row r="67" ht="18" customHeight="1">
      <c r="A67" s="18" t="n"/>
      <c r="B67" s="18" t="n"/>
      <c r="C67" s="18" t="n"/>
      <c r="D67" s="20" t="n"/>
      <c r="E67" s="21" t="n"/>
      <c r="F67" s="20" t="n"/>
      <c r="G67" s="20" t="n"/>
      <c r="H67" s="7">
        <f>IF(B67="","",IFERROR(VLOOKUP(B67,TIPO_UNIDAD,2,FALSE),1))</f>
        <v/>
      </c>
      <c r="I67" s="23">
        <f>IF(OR(A67="",B67=""),"",IF(B67="Activity",D67*(E67/100)*(1+N(F67)+N(G67)),D67*(E67/100)*H67))</f>
        <v/>
      </c>
    </row>
    <row r="68" ht="18" customHeight="1">
      <c r="A68" s="18" t="n"/>
      <c r="B68" s="18" t="n"/>
      <c r="C68" s="18" t="n"/>
      <c r="D68" s="20" t="n"/>
      <c r="E68" s="21" t="n"/>
      <c r="F68" s="20" t="n"/>
      <c r="G68" s="20" t="n"/>
      <c r="H68" s="7">
        <f>IF(B68="","",IFERROR(VLOOKUP(B68,TIPO_UNIDAD,2,FALSE),1))</f>
        <v/>
      </c>
      <c r="I68" s="23">
        <f>IF(OR(A68="",B68=""),"",IF(B68="Activity",D68*(E68/100)*(1+N(F68)+N(G68)),D68*(E68/100)*H68))</f>
        <v/>
      </c>
    </row>
    <row r="69" ht="18" customHeight="1">
      <c r="A69" s="18" t="n"/>
      <c r="B69" s="18" t="n"/>
      <c r="C69" s="18" t="n"/>
      <c r="D69" s="20" t="n"/>
      <c r="E69" s="21" t="n"/>
      <c r="F69" s="20" t="n"/>
      <c r="G69" s="20" t="n"/>
      <c r="H69" s="7">
        <f>IF(B69="","",IFERROR(VLOOKUP(B69,TIPO_UNIDAD,2,FALSE),1))</f>
        <v/>
      </c>
      <c r="I69" s="23">
        <f>IF(OR(A69="",B69=""),"",IF(B69="Activity",D69*(E69/100)*(1+N(F69)+N(G69)),D69*(E69/100)*H69))</f>
        <v/>
      </c>
    </row>
    <row r="70" ht="18" customHeight="1">
      <c r="A70" s="18" t="n"/>
      <c r="B70" s="18" t="n"/>
      <c r="C70" s="18" t="n"/>
      <c r="D70" s="20" t="n"/>
      <c r="E70" s="21" t="n"/>
      <c r="F70" s="20" t="n"/>
      <c r="G70" s="20" t="n"/>
      <c r="H70" s="7">
        <f>IF(B70="","",IFERROR(VLOOKUP(B70,TIPO_UNIDAD,2,FALSE),1))</f>
        <v/>
      </c>
      <c r="I70" s="23">
        <f>IF(OR(A70="",B70=""),"",IF(B70="Activity",D70*(E70/100)*(1+N(F70)+N(G70)),D70*(E70/100)*H70))</f>
        <v/>
      </c>
    </row>
    <row r="71" ht="18" customHeight="1">
      <c r="A71" s="18" t="n"/>
      <c r="B71" s="18" t="n"/>
      <c r="C71" s="18" t="n"/>
      <c r="D71" s="20" t="n"/>
      <c r="E71" s="21" t="n"/>
      <c r="F71" s="20" t="n"/>
      <c r="G71" s="20" t="n"/>
      <c r="H71" s="7">
        <f>IF(B71="","",IFERROR(VLOOKUP(B71,TIPO_UNIDAD,2,FALSE),1))</f>
        <v/>
      </c>
      <c r="I71" s="23">
        <f>IF(OR(A71="",B71=""),"",IF(B71="Activity",D71*(E71/100)*(1+N(F71)+N(G71)),D71*(E71/100)*H71))</f>
        <v/>
      </c>
    </row>
    <row r="72" ht="18" customHeight="1">
      <c r="A72" s="18" t="n"/>
      <c r="B72" s="18" t="n"/>
      <c r="C72" s="18" t="n"/>
      <c r="D72" s="20" t="n"/>
      <c r="E72" s="21" t="n"/>
      <c r="F72" s="20" t="n"/>
      <c r="G72" s="20" t="n"/>
      <c r="H72" s="7">
        <f>IF(B72="","",IFERROR(VLOOKUP(B72,TIPO_UNIDAD,2,FALSE),1))</f>
        <v/>
      </c>
      <c r="I72" s="23">
        <f>IF(OR(A72="",B72=""),"",IF(B72="Activity",D72*(E72/100)*(1+N(F72)+N(G72)),D72*(E72/100)*H72))</f>
        <v/>
      </c>
    </row>
    <row r="73" ht="18" customHeight="1">
      <c r="A73" s="18" t="n"/>
      <c r="B73" s="18" t="n"/>
      <c r="C73" s="18" t="n"/>
      <c r="D73" s="20" t="n"/>
      <c r="E73" s="21" t="n"/>
      <c r="F73" s="20" t="n"/>
      <c r="G73" s="20" t="n"/>
      <c r="H73" s="7">
        <f>IF(B73="","",IFERROR(VLOOKUP(B73,TIPO_UNIDAD,2,FALSE),1))</f>
        <v/>
      </c>
      <c r="I73" s="23">
        <f>IF(OR(A73="",B73=""),"",IF(B73="Activity",D73*(E73/100)*(1+N(F73)+N(G73)),D73*(E73/100)*H73))</f>
        <v/>
      </c>
    </row>
    <row r="74" ht="18" customHeight="1">
      <c r="A74" s="18" t="n"/>
      <c r="B74" s="18" t="n"/>
      <c r="C74" s="18" t="n"/>
      <c r="D74" s="20" t="n"/>
      <c r="E74" s="21" t="n"/>
      <c r="F74" s="20" t="n"/>
      <c r="G74" s="20" t="n"/>
      <c r="H74" s="7">
        <f>IF(B74="","",IFERROR(VLOOKUP(B74,TIPO_UNIDAD,2,FALSE),1))</f>
        <v/>
      </c>
      <c r="I74" s="23">
        <f>IF(OR(A74="",B74=""),"",IF(B74="Activity",D74*(E74/100)*(1+N(F74)+N(G74)),D74*(E74/100)*H74))</f>
        <v/>
      </c>
    </row>
    <row r="75" ht="18" customHeight="1">
      <c r="A75" s="18" t="n"/>
      <c r="B75" s="18" t="n"/>
      <c r="C75" s="18" t="n"/>
      <c r="D75" s="20" t="n"/>
      <c r="E75" s="21" t="n"/>
      <c r="F75" s="20" t="n"/>
      <c r="G75" s="20" t="n"/>
      <c r="H75" s="7">
        <f>IF(B75="","",IFERROR(VLOOKUP(B75,TIPO_UNIDAD,2,FALSE),1))</f>
        <v/>
      </c>
      <c r="I75" s="23">
        <f>IF(OR(A75="",B75=""),"",IF(B75="Activity",D75*(E75/100)*(1+N(F75)+N(G75)),D75*(E75/100)*H75))</f>
        <v/>
      </c>
    </row>
    <row r="76" ht="18" customHeight="1">
      <c r="A76" s="18" t="n"/>
      <c r="B76" s="18" t="n"/>
      <c r="C76" s="18" t="n"/>
      <c r="D76" s="20" t="n"/>
      <c r="E76" s="21" t="n"/>
      <c r="F76" s="20" t="n"/>
      <c r="G76" s="20" t="n"/>
      <c r="H76" s="7">
        <f>IF(B76="","",IFERROR(VLOOKUP(B76,TIPO_UNIDAD,2,FALSE),1))</f>
        <v/>
      </c>
      <c r="I76" s="23">
        <f>IF(OR(A76="",B76=""),"",IF(B76="Activity",D76*(E76/100)*(1+N(F76)+N(G76)),D76*(E76/100)*H76))</f>
        <v/>
      </c>
    </row>
    <row r="77" ht="18" customHeight="1">
      <c r="A77" s="18" t="n"/>
      <c r="B77" s="18" t="n"/>
      <c r="C77" s="18" t="n"/>
      <c r="D77" s="20" t="n"/>
      <c r="E77" s="21" t="n"/>
      <c r="F77" s="20" t="n"/>
      <c r="G77" s="20" t="n"/>
      <c r="H77" s="7">
        <f>IF(B77="","",IFERROR(VLOOKUP(B77,TIPO_UNIDAD,2,FALSE),1))</f>
        <v/>
      </c>
      <c r="I77" s="23">
        <f>IF(OR(A77="",B77=""),"",IF(B77="Activity",D77*(E77/100)*(1+N(F77)+N(G77)),D77*(E77/100)*H77))</f>
        <v/>
      </c>
    </row>
    <row r="78" ht="18" customHeight="1">
      <c r="A78" s="18" t="n"/>
      <c r="B78" s="18" t="n"/>
      <c r="C78" s="18" t="n"/>
      <c r="D78" s="20" t="n"/>
      <c r="E78" s="21" t="n"/>
      <c r="F78" s="20" t="n"/>
      <c r="G78" s="20" t="n"/>
      <c r="H78" s="7">
        <f>IF(B78="","",IFERROR(VLOOKUP(B78,TIPO_UNIDAD,2,FALSE),1))</f>
        <v/>
      </c>
      <c r="I78" s="23">
        <f>IF(OR(A78="",B78=""),"",IF(B78="Activity",D78*(E78/100)*(1+N(F78)+N(G78)),D78*(E78/100)*H78))</f>
        <v/>
      </c>
    </row>
    <row r="79" ht="18" customHeight="1">
      <c r="A79" s="18" t="n"/>
      <c r="B79" s="18" t="n"/>
      <c r="C79" s="18" t="n"/>
      <c r="D79" s="20" t="n"/>
      <c r="E79" s="21" t="n"/>
      <c r="F79" s="20" t="n"/>
      <c r="G79" s="20" t="n"/>
      <c r="H79" s="7">
        <f>IF(B79="","",IFERROR(VLOOKUP(B79,TIPO_UNIDAD,2,FALSE),1))</f>
        <v/>
      </c>
      <c r="I79" s="23">
        <f>IF(OR(A79="",B79=""),"",IF(B79="Activity",D79*(E79/100)*(1+N(F79)+N(G79)),D79*(E79/100)*H79))</f>
        <v/>
      </c>
    </row>
    <row r="80" ht="18" customHeight="1">
      <c r="A80" s="18" t="n"/>
      <c r="B80" s="18" t="n"/>
      <c r="C80" s="18" t="n"/>
      <c r="D80" s="20" t="n"/>
      <c r="E80" s="21" t="n"/>
      <c r="F80" s="20" t="n"/>
      <c r="G80" s="20" t="n"/>
      <c r="H80" s="7">
        <f>IF(B80="","",IFERROR(VLOOKUP(B80,TIPO_UNIDAD,2,FALSE),1))</f>
        <v/>
      </c>
      <c r="I80" s="23">
        <f>IF(OR(A80="",B80=""),"",IF(B80="Activity",D80*(E80/100)*(1+N(F80)+N(G80)),D80*(E80/100)*H80))</f>
        <v/>
      </c>
    </row>
    <row r="81" ht="18" customHeight="1">
      <c r="A81" s="18" t="n"/>
      <c r="B81" s="18" t="n"/>
      <c r="C81" s="18" t="n"/>
      <c r="D81" s="20" t="n"/>
      <c r="E81" s="21" t="n"/>
      <c r="F81" s="20" t="n"/>
      <c r="G81" s="20" t="n"/>
      <c r="H81" s="7">
        <f>IF(B81="","",IFERROR(VLOOKUP(B81,TIPO_UNIDAD,2,FALSE),1))</f>
        <v/>
      </c>
      <c r="I81" s="23">
        <f>IF(OR(A81="",B81=""),"",IF(B81="Activity",D81*(E81/100)*(1+N(F81)+N(G81)),D81*(E81/100)*H81))</f>
        <v/>
      </c>
    </row>
    <row r="82" ht="18" customHeight="1">
      <c r="A82" s="18" t="n"/>
      <c r="B82" s="18" t="n"/>
      <c r="C82" s="18" t="n"/>
      <c r="D82" s="20" t="n"/>
      <c r="E82" s="21" t="n"/>
      <c r="F82" s="20" t="n"/>
      <c r="G82" s="20" t="n"/>
      <c r="H82" s="7">
        <f>IF(B82="","",IFERROR(VLOOKUP(B82,TIPO_UNIDAD,2,FALSE),1))</f>
        <v/>
      </c>
      <c r="I82" s="23">
        <f>IF(OR(A82="",B82=""),"",IF(B82="Activity",D82*(E82/100)*(1+N(F82)+N(G82)),D82*(E82/100)*H82))</f>
        <v/>
      </c>
    </row>
    <row r="83" ht="18" customHeight="1">
      <c r="A83" s="18" t="n"/>
      <c r="B83" s="18" t="n"/>
      <c r="C83" s="18" t="n"/>
      <c r="D83" s="20" t="n"/>
      <c r="E83" s="21" t="n"/>
      <c r="F83" s="20" t="n"/>
      <c r="G83" s="20" t="n"/>
      <c r="H83" s="7">
        <f>IF(B83="","",IFERROR(VLOOKUP(B83,TIPO_UNIDAD,2,FALSE),1))</f>
        <v/>
      </c>
      <c r="I83" s="23">
        <f>IF(OR(A83="",B83=""),"",IF(B83="Activity",D83*(E83/100)*(1+N(F83)+N(G83)),D83*(E83/100)*H83))</f>
        <v/>
      </c>
    </row>
    <row r="84" ht="18" customHeight="1">
      <c r="A84" s="18" t="n"/>
      <c r="B84" s="18" t="n"/>
      <c r="C84" s="18" t="n"/>
      <c r="D84" s="20" t="n"/>
      <c r="E84" s="21" t="n"/>
      <c r="F84" s="20" t="n"/>
      <c r="G84" s="20" t="n"/>
      <c r="H84" s="7">
        <f>IF(B84="","",IFERROR(VLOOKUP(B84,TIPO_UNIDAD,2,FALSE),1))</f>
        <v/>
      </c>
      <c r="I84" s="23">
        <f>IF(OR(A84="",B84=""),"",IF(B84="Activity",D84*(E84/100)*(1+N(F84)+N(G84)),D84*(E84/100)*H84))</f>
        <v/>
      </c>
    </row>
    <row r="85" ht="18" customHeight="1">
      <c r="A85" s="18" t="n"/>
      <c r="B85" s="18" t="n"/>
      <c r="C85" s="18" t="n"/>
      <c r="D85" s="20" t="n"/>
      <c r="E85" s="21" t="n"/>
      <c r="F85" s="20" t="n"/>
      <c r="G85" s="20" t="n"/>
      <c r="H85" s="7">
        <f>IF(B85="","",IFERROR(VLOOKUP(B85,TIPO_UNIDAD,2,FALSE),1))</f>
        <v/>
      </c>
      <c r="I85" s="23">
        <f>IF(OR(A85="",B85=""),"",IF(B85="Activity",D85*(E85/100)*(1+N(F85)+N(G85)),D85*(E85/100)*H85))</f>
        <v/>
      </c>
    </row>
    <row r="86" ht="18" customHeight="1">
      <c r="A86" s="18" t="n"/>
      <c r="B86" s="18" t="n"/>
      <c r="C86" s="18" t="n"/>
      <c r="D86" s="20" t="n"/>
      <c r="E86" s="21" t="n"/>
      <c r="F86" s="20" t="n"/>
      <c r="G86" s="20" t="n"/>
      <c r="H86" s="7">
        <f>IF(B86="","",IFERROR(VLOOKUP(B86,TIPO_UNIDAD,2,FALSE),1))</f>
        <v/>
      </c>
      <c r="I86" s="23">
        <f>IF(OR(A86="",B86=""),"",IF(B86="Activity",D86*(E86/100)*(1+N(F86)+N(G86)),D86*(E86/100)*H86))</f>
        <v/>
      </c>
    </row>
    <row r="87" ht="18" customHeight="1">
      <c r="A87" s="18" t="n"/>
      <c r="B87" s="18" t="n"/>
      <c r="C87" s="18" t="n"/>
      <c r="D87" s="20" t="n"/>
      <c r="E87" s="21" t="n"/>
      <c r="F87" s="20" t="n"/>
      <c r="G87" s="20" t="n"/>
      <c r="H87" s="7">
        <f>IF(B87="","",IFERROR(VLOOKUP(B87,TIPO_UNIDAD,2,FALSE),1))</f>
        <v/>
      </c>
      <c r="I87" s="23">
        <f>IF(OR(A87="",B87=""),"",IF(B87="Activity",D87*(E87/100)*(1+N(F87)+N(G87)),D87*(E87/100)*H87))</f>
        <v/>
      </c>
    </row>
    <row r="88" ht="18" customHeight="1">
      <c r="A88" s="18" t="n"/>
      <c r="B88" s="18" t="n"/>
      <c r="C88" s="18" t="n"/>
      <c r="D88" s="20" t="n"/>
      <c r="E88" s="21" t="n"/>
      <c r="F88" s="20" t="n"/>
      <c r="G88" s="20" t="n"/>
      <c r="H88" s="7">
        <f>IF(B88="","",IFERROR(VLOOKUP(B88,TIPO_UNIDAD,2,FALSE),1))</f>
        <v/>
      </c>
      <c r="I88" s="23">
        <f>IF(OR(A88="",B88=""),"",IF(B88="Activity",D88*(E88/100)*(1+N(F88)+N(G88)),D88*(E88/100)*H88))</f>
        <v/>
      </c>
    </row>
    <row r="89" ht="18" customHeight="1">
      <c r="A89" s="18" t="n"/>
      <c r="B89" s="18" t="n"/>
      <c r="C89" s="18" t="n"/>
      <c r="D89" s="20" t="n"/>
      <c r="E89" s="21" t="n"/>
      <c r="F89" s="20" t="n"/>
      <c r="G89" s="20" t="n"/>
      <c r="H89" s="7">
        <f>IF(B89="","",IFERROR(VLOOKUP(B89,TIPO_UNIDAD,2,FALSE),1))</f>
        <v/>
      </c>
      <c r="I89" s="23">
        <f>IF(OR(A89="",B89=""),"",IF(B89="Activity",D89*(E89/100)*(1+N(F89)+N(G89)),D89*(E89/100)*H89))</f>
        <v/>
      </c>
    </row>
    <row r="90" ht="18" customHeight="1">
      <c r="A90" s="18" t="n"/>
      <c r="B90" s="18" t="n"/>
      <c r="C90" s="18" t="n"/>
      <c r="D90" s="20" t="n"/>
      <c r="E90" s="21" t="n"/>
      <c r="F90" s="20" t="n"/>
      <c r="G90" s="20" t="n"/>
      <c r="H90" s="7">
        <f>IF(B90="","",IFERROR(VLOOKUP(B90,TIPO_UNIDAD,2,FALSE),1))</f>
        <v/>
      </c>
      <c r="I90" s="23">
        <f>IF(OR(A90="",B90=""),"",IF(B90="Activity",D90*(E90/100)*(1+N(F90)+N(G90)),D90*(E90/100)*H90))</f>
        <v/>
      </c>
    </row>
    <row r="91" ht="18" customHeight="1">
      <c r="A91" s="18" t="n"/>
      <c r="B91" s="18" t="n"/>
      <c r="C91" s="18" t="n"/>
      <c r="D91" s="20" t="n"/>
      <c r="E91" s="21" t="n"/>
      <c r="F91" s="20" t="n"/>
      <c r="G91" s="20" t="n"/>
      <c r="H91" s="7">
        <f>IF(B91="","",IFERROR(VLOOKUP(B91,TIPO_UNIDAD,2,FALSE),1))</f>
        <v/>
      </c>
      <c r="I91" s="23">
        <f>IF(OR(A91="",B91=""),"",IF(B91="Activity",D91*(E91/100)*(1+N(F91)+N(G91)),D91*(E91/100)*H91))</f>
        <v/>
      </c>
    </row>
    <row r="92" ht="18" customHeight="1">
      <c r="A92" s="18" t="n"/>
      <c r="B92" s="18" t="n"/>
      <c r="C92" s="18" t="n"/>
      <c r="D92" s="20" t="n"/>
      <c r="E92" s="21" t="n"/>
      <c r="F92" s="20" t="n"/>
      <c r="G92" s="20" t="n"/>
      <c r="H92" s="7">
        <f>IF(B92="","",IFERROR(VLOOKUP(B92,TIPO_UNIDAD,2,FALSE),1))</f>
        <v/>
      </c>
      <c r="I92" s="23">
        <f>IF(OR(A92="",B92=""),"",IF(B92="Activity",D92*(E92/100)*(1+N(F92)+N(G92)),D92*(E92/100)*H92))</f>
        <v/>
      </c>
    </row>
    <row r="93" ht="18" customHeight="1">
      <c r="A93" s="18" t="n"/>
      <c r="B93" s="18" t="n"/>
      <c r="C93" s="18" t="n"/>
      <c r="D93" s="20" t="n"/>
      <c r="E93" s="21" t="n"/>
      <c r="F93" s="20" t="n"/>
      <c r="G93" s="20" t="n"/>
      <c r="H93" s="7">
        <f>IF(B93="","",IFERROR(VLOOKUP(B93,TIPO_UNIDAD,2,FALSE),1))</f>
        <v/>
      </c>
      <c r="I93" s="23">
        <f>IF(OR(A93="",B93=""),"",IF(B93="Activity",D93*(E93/100)*(1+N(F93)+N(G93)),D93*(E93/100)*H93))</f>
        <v/>
      </c>
    </row>
    <row r="94" ht="18" customHeight="1">
      <c r="A94" s="18" t="n"/>
      <c r="B94" s="18" t="n"/>
      <c r="C94" s="18" t="n"/>
      <c r="D94" s="20" t="n"/>
      <c r="E94" s="21" t="n"/>
      <c r="F94" s="20" t="n"/>
      <c r="G94" s="20" t="n"/>
      <c r="H94" s="7">
        <f>IF(B94="","",IFERROR(VLOOKUP(B94,TIPO_UNIDAD,2,FALSE),1))</f>
        <v/>
      </c>
      <c r="I94" s="23">
        <f>IF(OR(A94="",B94=""),"",IF(B94="Activity",D94*(E94/100)*(1+N(F94)+N(G94)),D94*(E94/100)*H94))</f>
        <v/>
      </c>
    </row>
    <row r="95" ht="18" customHeight="1">
      <c r="A95" s="18" t="n"/>
      <c r="B95" s="18" t="n"/>
      <c r="C95" s="18" t="n"/>
      <c r="D95" s="20" t="n"/>
      <c r="E95" s="21" t="n"/>
      <c r="F95" s="20" t="n"/>
      <c r="G95" s="20" t="n"/>
      <c r="H95" s="7">
        <f>IF(B95="","",IFERROR(VLOOKUP(B95,TIPO_UNIDAD,2,FALSE),1))</f>
        <v/>
      </c>
      <c r="I95" s="23">
        <f>IF(OR(A95="",B95=""),"",IF(B95="Activity",D95*(E95/100)*(1+N(F95)+N(G95)),D95*(E95/100)*H95))</f>
        <v/>
      </c>
    </row>
    <row r="96" ht="18" customHeight="1">
      <c r="A96" s="18" t="n"/>
      <c r="B96" s="18" t="n"/>
      <c r="C96" s="18" t="n"/>
      <c r="D96" s="20" t="n"/>
      <c r="E96" s="21" t="n"/>
      <c r="F96" s="20" t="n"/>
      <c r="G96" s="20" t="n"/>
      <c r="H96" s="7">
        <f>IF(B96="","",IFERROR(VLOOKUP(B96,TIPO_UNIDAD,2,FALSE),1))</f>
        <v/>
      </c>
      <c r="I96" s="23">
        <f>IF(OR(A96="",B96=""),"",IF(B96="Activity",D96*(E96/100)*(1+N(F96)+N(G96)),D96*(E96/100)*H96))</f>
        <v/>
      </c>
    </row>
    <row r="97" ht="18" customHeight="1">
      <c r="A97" s="18" t="n"/>
      <c r="B97" s="18" t="n"/>
      <c r="C97" s="18" t="n"/>
      <c r="D97" s="20" t="n"/>
      <c r="E97" s="21" t="n"/>
      <c r="F97" s="20" t="n"/>
      <c r="G97" s="20" t="n"/>
      <c r="H97" s="7">
        <f>IF(B97="","",IFERROR(VLOOKUP(B97,TIPO_UNIDAD,2,FALSE),1))</f>
        <v/>
      </c>
      <c r="I97" s="23">
        <f>IF(OR(A97="",B97=""),"",IF(B97="Activity",D97*(E97/100)*(1+N(F97)+N(G97)),D97*(E97/100)*H97))</f>
        <v/>
      </c>
    </row>
    <row r="98" ht="18" customHeight="1">
      <c r="A98" s="18" t="n"/>
      <c r="B98" s="18" t="n"/>
      <c r="C98" s="18" t="n"/>
      <c r="D98" s="20" t="n"/>
      <c r="E98" s="21" t="n"/>
      <c r="F98" s="20" t="n"/>
      <c r="G98" s="20" t="n"/>
      <c r="H98" s="7">
        <f>IF(B98="","",IFERROR(VLOOKUP(B98,TIPO_UNIDAD,2,FALSE),1))</f>
        <v/>
      </c>
      <c r="I98" s="23">
        <f>IF(OR(A98="",B98=""),"",IF(B98="Activity",D98*(E98/100)*(1+N(F98)+N(G98)),D98*(E98/100)*H98))</f>
        <v/>
      </c>
    </row>
    <row r="99" ht="18" customHeight="1">
      <c r="A99" s="18" t="n"/>
      <c r="B99" s="18" t="n"/>
      <c r="C99" s="18" t="n"/>
      <c r="D99" s="20" t="n"/>
      <c r="E99" s="21" t="n"/>
      <c r="F99" s="20" t="n"/>
      <c r="G99" s="20" t="n"/>
      <c r="H99" s="7">
        <f>IF(B99="","",IFERROR(VLOOKUP(B99,TIPO_UNIDAD,2,FALSE),1))</f>
        <v/>
      </c>
      <c r="I99" s="23">
        <f>IF(OR(A99="",B99=""),"",IF(B99="Activity",D99*(E99/100)*(1+N(F99)+N(G99)),D99*(E99/100)*H99))</f>
        <v/>
      </c>
    </row>
    <row r="100" ht="18" customHeight="1">
      <c r="A100" s="18" t="n"/>
      <c r="B100" s="18" t="n"/>
      <c r="C100" s="18" t="n"/>
      <c r="D100" s="20" t="n"/>
      <c r="E100" s="21" t="n"/>
      <c r="F100" s="20" t="n"/>
      <c r="G100" s="20" t="n"/>
      <c r="H100" s="7">
        <f>IF(B100="","",IFERROR(VLOOKUP(B100,TIPO_UNIDAD,2,FALSE),1))</f>
        <v/>
      </c>
      <c r="I100" s="23">
        <f>IF(OR(A100="",B100=""),"",IF(B100="Activity",D100*(E100/100)*(1+N(F100)+N(G100)),D100*(E100/100)*H100))</f>
        <v/>
      </c>
    </row>
    <row r="101" ht="18" customHeight="1">
      <c r="A101" s="18" t="n"/>
      <c r="B101" s="18" t="n"/>
      <c r="C101" s="18" t="n"/>
      <c r="D101" s="20" t="n"/>
      <c r="E101" s="21" t="n"/>
      <c r="F101" s="20" t="n"/>
      <c r="G101" s="20" t="n"/>
      <c r="H101" s="7">
        <f>IF(B101="","",IFERROR(VLOOKUP(B101,TIPO_UNIDAD,2,FALSE),1))</f>
        <v/>
      </c>
      <c r="I101" s="23">
        <f>IF(OR(A101="",B101=""),"",IF(B101="Activity",D101*(E101/100)*(1+N(F101)+N(G101)),D101*(E101/100)*H101))</f>
        <v/>
      </c>
    </row>
    <row r="102" ht="18" customHeight="1">
      <c r="A102" s="18" t="n"/>
      <c r="B102" s="18" t="n"/>
      <c r="C102" s="18" t="n"/>
      <c r="D102" s="20" t="n"/>
      <c r="E102" s="21" t="n"/>
      <c r="F102" s="20" t="n"/>
      <c r="G102" s="20" t="n"/>
      <c r="H102" s="7">
        <f>IF(B102="","",IFERROR(VLOOKUP(B102,TIPO_UNIDAD,2,FALSE),1))</f>
        <v/>
      </c>
      <c r="I102" s="23">
        <f>IF(OR(A102="",B102=""),"",IF(B102="Activity",D102*(E102/100)*(1+N(F102)+N(G102)),D102*(E102/100)*H102))</f>
        <v/>
      </c>
    </row>
    <row r="103" ht="18" customHeight="1">
      <c r="A103" s="18" t="n"/>
      <c r="B103" s="18" t="n"/>
      <c r="C103" s="18" t="n"/>
      <c r="D103" s="20" t="n"/>
      <c r="E103" s="21" t="n"/>
      <c r="F103" s="20" t="n"/>
      <c r="G103" s="20" t="n"/>
      <c r="H103" s="7">
        <f>IF(B103="","",IFERROR(VLOOKUP(B103,TIPO_UNIDAD,2,FALSE),1))</f>
        <v/>
      </c>
      <c r="I103" s="23">
        <f>IF(OR(A103="",B103=""),"",IF(B103="Activity",D103*(E103/100)*(1+N(F103)+N(G103)),D103*(E103/100)*H103))</f>
        <v/>
      </c>
    </row>
    <row r="104" ht="18" customHeight="1">
      <c r="A104" s="18" t="n"/>
      <c r="B104" s="18" t="n"/>
      <c r="C104" s="18" t="n"/>
      <c r="D104" s="20" t="n"/>
      <c r="E104" s="21" t="n"/>
      <c r="F104" s="20" t="n"/>
      <c r="G104" s="20" t="n"/>
      <c r="H104" s="7">
        <f>IF(B104="","",IFERROR(VLOOKUP(B104,TIPO_UNIDAD,2,FALSE),1))</f>
        <v/>
      </c>
      <c r="I104" s="23">
        <f>IF(OR(A104="",B104=""),"",IF(B104="Activity",D104*(E104/100)*(1+N(F104)+N(G104)),D104*(E104/100)*H104))</f>
        <v/>
      </c>
    </row>
    <row r="105" ht="18" customHeight="1">
      <c r="A105" s="18" t="n"/>
      <c r="B105" s="18" t="n"/>
      <c r="C105" s="18" t="n"/>
      <c r="D105" s="20" t="n"/>
      <c r="E105" s="21" t="n"/>
      <c r="F105" s="20" t="n"/>
      <c r="G105" s="20" t="n"/>
      <c r="H105" s="7">
        <f>IF(B105="","",IFERROR(VLOOKUP(B105,TIPO_UNIDAD,2,FALSE),1))</f>
        <v/>
      </c>
      <c r="I105" s="23">
        <f>IF(OR(A105="",B105=""),"",IF(B105="Activity",D105*(E105/100)*(1+N(F105)+N(G105)),D105*(E105/100)*H105))</f>
        <v/>
      </c>
    </row>
    <row r="106" ht="18" customHeight="1">
      <c r="A106" s="18" t="n"/>
      <c r="B106" s="18" t="n"/>
      <c r="C106" s="18" t="n"/>
      <c r="D106" s="20" t="n"/>
      <c r="E106" s="21" t="n"/>
      <c r="F106" s="20" t="n"/>
      <c r="G106" s="20" t="n"/>
      <c r="H106" s="7">
        <f>IF(B106="","",IFERROR(VLOOKUP(B106,TIPO_UNIDAD,2,FALSE),1))</f>
        <v/>
      </c>
      <c r="I106" s="23">
        <f>IF(OR(A106="",B106=""),"",IF(B106="Activity",D106*(E106/100)*(1+N(F106)+N(G106)),D106*(E106/100)*H106))</f>
        <v/>
      </c>
    </row>
    <row r="107" ht="18" customHeight="1">
      <c r="A107" s="18" t="n"/>
      <c r="B107" s="18" t="n"/>
      <c r="C107" s="18" t="n"/>
      <c r="D107" s="20" t="n"/>
      <c r="E107" s="21" t="n"/>
      <c r="F107" s="20" t="n"/>
      <c r="G107" s="20" t="n"/>
      <c r="H107" s="7">
        <f>IF(B107="","",IFERROR(VLOOKUP(B107,TIPO_UNIDAD,2,FALSE),1))</f>
        <v/>
      </c>
      <c r="I107" s="23">
        <f>IF(OR(A107="",B107=""),"",IF(B107="Activity",D107*(E107/100)*(1+N(F107)+N(G107)),D107*(E107/100)*H107))</f>
        <v/>
      </c>
    </row>
    <row r="108" ht="18" customHeight="1">
      <c r="A108" s="18" t="n"/>
      <c r="B108" s="18" t="n"/>
      <c r="C108" s="18" t="n"/>
      <c r="D108" s="20" t="n"/>
      <c r="E108" s="21" t="n"/>
      <c r="F108" s="20" t="n"/>
      <c r="G108" s="20" t="n"/>
      <c r="H108" s="7">
        <f>IF(B108="","",IFERROR(VLOOKUP(B108,TIPO_UNIDAD,2,FALSE),1))</f>
        <v/>
      </c>
      <c r="I108" s="23">
        <f>IF(OR(A108="",B108=""),"",IF(B108="Activity",D108*(E108/100)*(1+N(F108)+N(G108)),D108*(E108/100)*H108))</f>
        <v/>
      </c>
    </row>
    <row r="109" ht="18" customHeight="1">
      <c r="A109" s="18" t="n"/>
      <c r="B109" s="18" t="n"/>
      <c r="C109" s="18" t="n"/>
      <c r="D109" s="20" t="n"/>
      <c r="E109" s="21" t="n"/>
      <c r="F109" s="20" t="n"/>
      <c r="G109" s="20" t="n"/>
      <c r="H109" s="7">
        <f>IF(B109="","",IFERROR(VLOOKUP(B109,TIPO_UNIDAD,2,FALSE),1))</f>
        <v/>
      </c>
      <c r="I109" s="23">
        <f>IF(OR(A109="",B109=""),"",IF(B109="Activity",D109*(E109/100)*(1+N(F109)+N(G109)),D109*(E109/100)*H109))</f>
        <v/>
      </c>
    </row>
    <row r="110" ht="18" customHeight="1">
      <c r="A110" s="18" t="n"/>
      <c r="B110" s="18" t="n"/>
      <c r="C110" s="18" t="n"/>
      <c r="D110" s="20" t="n"/>
      <c r="E110" s="21" t="n"/>
      <c r="F110" s="20" t="n"/>
      <c r="G110" s="20" t="n"/>
      <c r="H110" s="7">
        <f>IF(B110="","",IFERROR(VLOOKUP(B110,TIPO_UNIDAD,2,FALSE),1))</f>
        <v/>
      </c>
      <c r="I110" s="23">
        <f>IF(OR(A110="",B110=""),"",IF(B110="Activity",D110*(E110/100)*(1+N(F110)+N(G110)),D110*(E110/100)*H110))</f>
        <v/>
      </c>
    </row>
    <row r="111" ht="18" customHeight="1">
      <c r="A111" s="18" t="n"/>
      <c r="B111" s="18" t="n"/>
      <c r="C111" s="18" t="n"/>
      <c r="D111" s="20" t="n"/>
      <c r="E111" s="21" t="n"/>
      <c r="F111" s="20" t="n"/>
      <c r="G111" s="20" t="n"/>
      <c r="H111" s="7">
        <f>IF(B111="","",IFERROR(VLOOKUP(B111,TIPO_UNIDAD,2,FALSE),1))</f>
        <v/>
      </c>
      <c r="I111" s="23">
        <f>IF(OR(A111="",B111=""),"",IF(B111="Activity",D111*(E111/100)*(1+N(F111)+N(G111)),D111*(E111/100)*H111))</f>
        <v/>
      </c>
    </row>
    <row r="112" ht="18" customHeight="1">
      <c r="A112" s="18" t="n"/>
      <c r="B112" s="18" t="n"/>
      <c r="C112" s="18" t="n"/>
      <c r="D112" s="20" t="n"/>
      <c r="E112" s="21" t="n"/>
      <c r="F112" s="20" t="n"/>
      <c r="G112" s="20" t="n"/>
      <c r="H112" s="7">
        <f>IF(B112="","",IFERROR(VLOOKUP(B112,TIPO_UNIDAD,2,FALSE),1))</f>
        <v/>
      </c>
      <c r="I112" s="23">
        <f>IF(OR(A112="",B112=""),"",IF(B112="Activity",D112*(E112/100)*(1+N(F112)+N(G112)),D112*(E112/100)*H112))</f>
        <v/>
      </c>
    </row>
    <row r="113" ht="18" customHeight="1">
      <c r="A113" s="18" t="n"/>
      <c r="B113" s="18" t="n"/>
      <c r="C113" s="18" t="n"/>
      <c r="D113" s="20" t="n"/>
      <c r="E113" s="21" t="n"/>
      <c r="F113" s="20" t="n"/>
      <c r="G113" s="20" t="n"/>
      <c r="H113" s="7">
        <f>IF(B113="","",IFERROR(VLOOKUP(B113,TIPO_UNIDAD,2,FALSE),1))</f>
        <v/>
      </c>
      <c r="I113" s="23">
        <f>IF(OR(A113="",B113=""),"",IF(B113="Activity",D113*(E113/100)*(1+N(F113)+N(G113)),D113*(E113/100)*H113))</f>
        <v/>
      </c>
    </row>
    <row r="114" ht="18" customHeight="1">
      <c r="A114" s="18" t="n"/>
      <c r="B114" s="18" t="n"/>
      <c r="C114" s="18" t="n"/>
      <c r="D114" s="20" t="n"/>
      <c r="E114" s="21" t="n"/>
      <c r="F114" s="20" t="n"/>
      <c r="G114" s="20" t="n"/>
      <c r="H114" s="7">
        <f>IF(B114="","",IFERROR(VLOOKUP(B114,TIPO_UNIDAD,2,FALSE),1))</f>
        <v/>
      </c>
      <c r="I114" s="23">
        <f>IF(OR(A114="",B114=""),"",IF(B114="Activity",D114*(E114/100)*(1+N(F114)+N(G114)),D114*(E114/100)*H114))</f>
        <v/>
      </c>
    </row>
    <row r="115" ht="18" customHeight="1">
      <c r="A115" s="18" t="n"/>
      <c r="B115" s="18" t="n"/>
      <c r="C115" s="18" t="n"/>
      <c r="D115" s="20" t="n"/>
      <c r="E115" s="21" t="n"/>
      <c r="F115" s="20" t="n"/>
      <c r="G115" s="20" t="n"/>
      <c r="H115" s="7">
        <f>IF(B115="","",IFERROR(VLOOKUP(B115,TIPO_UNIDAD,2,FALSE),1))</f>
        <v/>
      </c>
      <c r="I115" s="23">
        <f>IF(OR(A115="",B115=""),"",IF(B115="Activity",D115*(E115/100)*(1+N(F115)+N(G115)),D115*(E115/100)*H115))</f>
        <v/>
      </c>
    </row>
    <row r="116" ht="18" customHeight="1">
      <c r="A116" s="18" t="n"/>
      <c r="B116" s="18" t="n"/>
      <c r="C116" s="18" t="n"/>
      <c r="D116" s="20" t="n"/>
      <c r="E116" s="21" t="n"/>
      <c r="F116" s="20" t="n"/>
      <c r="G116" s="20" t="n"/>
      <c r="H116" s="7">
        <f>IF(B116="","",IFERROR(VLOOKUP(B116,TIPO_UNIDAD,2,FALSE),1))</f>
        <v/>
      </c>
      <c r="I116" s="23">
        <f>IF(OR(A116="",B116=""),"",IF(B116="Activity",D116*(E116/100)*(1+N(F116)+N(G116)),D116*(E116/100)*H116))</f>
        <v/>
      </c>
    </row>
    <row r="117" ht="18" customHeight="1">
      <c r="A117" s="18" t="n"/>
      <c r="B117" s="18" t="n"/>
      <c r="C117" s="18" t="n"/>
      <c r="D117" s="20" t="n"/>
      <c r="E117" s="21" t="n"/>
      <c r="F117" s="20" t="n"/>
      <c r="G117" s="20" t="n"/>
      <c r="H117" s="7">
        <f>IF(B117="","",IFERROR(VLOOKUP(B117,TIPO_UNIDAD,2,FALSE),1))</f>
        <v/>
      </c>
      <c r="I117" s="23">
        <f>IF(OR(A117="",B117=""),"",IF(B117="Activity",D117*(E117/100)*(1+N(F117)+N(G117)),D117*(E117/100)*H117))</f>
        <v/>
      </c>
    </row>
    <row r="118" ht="18" customHeight="1">
      <c r="A118" s="18" t="n"/>
      <c r="B118" s="18" t="n"/>
      <c r="C118" s="18" t="n"/>
      <c r="D118" s="20" t="n"/>
      <c r="E118" s="21" t="n"/>
      <c r="F118" s="20" t="n"/>
      <c r="G118" s="20" t="n"/>
      <c r="H118" s="7">
        <f>IF(B118="","",IFERROR(VLOOKUP(B118,TIPO_UNIDAD,2,FALSE),1))</f>
        <v/>
      </c>
      <c r="I118" s="23">
        <f>IF(OR(A118="",B118=""),"",IF(B118="Activity",D118*(E118/100)*(1+N(F118)+N(G118)),D118*(E118/100)*H118))</f>
        <v/>
      </c>
    </row>
    <row r="119" ht="18" customHeight="1">
      <c r="A119" s="18" t="n"/>
      <c r="B119" s="18" t="n"/>
      <c r="C119" s="18" t="n"/>
      <c r="D119" s="20" t="n"/>
      <c r="E119" s="21" t="n"/>
      <c r="F119" s="20" t="n"/>
      <c r="G119" s="20" t="n"/>
      <c r="H119" s="7">
        <f>IF(B119="","",IFERROR(VLOOKUP(B119,TIPO_UNIDAD,2,FALSE),1))</f>
        <v/>
      </c>
      <c r="I119" s="23">
        <f>IF(OR(A119="",B119=""),"",IF(B119="Activity",D119*(E119/100)*(1+N(F119)+N(G119)),D119*(E119/100)*H119))</f>
        <v/>
      </c>
    </row>
    <row r="120" ht="18" customHeight="1">
      <c r="A120" s="18" t="n"/>
      <c r="B120" s="18" t="n"/>
      <c r="C120" s="18" t="n"/>
      <c r="D120" s="20" t="n"/>
      <c r="E120" s="21" t="n"/>
      <c r="F120" s="20" t="n"/>
      <c r="G120" s="20" t="n"/>
      <c r="H120" s="7">
        <f>IF(B120="","",IFERROR(VLOOKUP(B120,TIPO_UNIDAD,2,FALSE),1))</f>
        <v/>
      </c>
      <c r="I120" s="23">
        <f>IF(OR(A120="",B120=""),"",IF(B120="Activity",D120*(E120/100)*(1+N(F120)+N(G120)),D120*(E120/100)*H120))</f>
        <v/>
      </c>
    </row>
    <row r="121" ht="18" customHeight="1">
      <c r="A121" s="18" t="n"/>
      <c r="B121" s="18" t="n"/>
      <c r="C121" s="18" t="n"/>
      <c r="D121" s="20" t="n"/>
      <c r="E121" s="21" t="n"/>
      <c r="F121" s="20" t="n"/>
      <c r="G121" s="20" t="n"/>
      <c r="H121" s="7">
        <f>IF(B121="","",IFERROR(VLOOKUP(B121,TIPO_UNIDAD,2,FALSE),1))</f>
        <v/>
      </c>
      <c r="I121" s="23">
        <f>IF(OR(A121="",B121=""),"",IF(B121="Activity",D121*(E121/100)*(1+N(F121)+N(G121)),D121*(E121/100)*H121))</f>
        <v/>
      </c>
    </row>
    <row r="122" ht="18" customHeight="1">
      <c r="A122" s="18" t="n"/>
      <c r="B122" s="18" t="n"/>
      <c r="C122" s="18" t="n"/>
      <c r="D122" s="20" t="n"/>
      <c r="E122" s="21" t="n"/>
      <c r="F122" s="20" t="n"/>
      <c r="G122" s="20" t="n"/>
      <c r="H122" s="7">
        <f>IF(B122="","",IFERROR(VLOOKUP(B122,TIPO_UNIDAD,2,FALSE),1))</f>
        <v/>
      </c>
      <c r="I122" s="23">
        <f>IF(OR(A122="",B122=""),"",IF(B122="Activity",D122*(E122/100)*(1+N(F122)+N(G122)),D122*(E122/100)*H122))</f>
        <v/>
      </c>
    </row>
    <row r="123" ht="18" customHeight="1">
      <c r="A123" s="18" t="n"/>
      <c r="B123" s="18" t="n"/>
      <c r="C123" s="18" t="n"/>
      <c r="D123" s="20" t="n"/>
      <c r="E123" s="21" t="n"/>
      <c r="F123" s="20" t="n"/>
      <c r="G123" s="20" t="n"/>
      <c r="H123" s="7">
        <f>IF(B123="","",IFERROR(VLOOKUP(B123,TIPO_UNIDAD,2,FALSE),1))</f>
        <v/>
      </c>
      <c r="I123" s="23">
        <f>IF(OR(A123="",B123=""),"",IF(B123="Activity",D123*(E123/100)*(1+N(F123)+N(G123)),D123*(E123/100)*H123))</f>
        <v/>
      </c>
    </row>
    <row r="124" ht="18" customHeight="1">
      <c r="A124" s="18" t="n"/>
      <c r="B124" s="18" t="n"/>
      <c r="C124" s="18" t="n"/>
      <c r="D124" s="20" t="n"/>
      <c r="E124" s="21" t="n"/>
      <c r="F124" s="20" t="n"/>
      <c r="G124" s="20" t="n"/>
      <c r="H124" s="7">
        <f>IF(B124="","",IFERROR(VLOOKUP(B124,TIPO_UNIDAD,2,FALSE),1))</f>
        <v/>
      </c>
      <c r="I124" s="23">
        <f>IF(OR(A124="",B124=""),"",IF(B124="Activity",D124*(E124/100)*(1+N(F124)+N(G124)),D124*(E124/100)*H124))</f>
        <v/>
      </c>
    </row>
    <row r="125" ht="18" customHeight="1">
      <c r="A125" s="18" t="n"/>
      <c r="B125" s="18" t="n"/>
      <c r="C125" s="18" t="n"/>
      <c r="D125" s="20" t="n"/>
      <c r="E125" s="21" t="n"/>
      <c r="F125" s="20" t="n"/>
      <c r="G125" s="20" t="n"/>
      <c r="H125" s="7">
        <f>IF(B125="","",IFERROR(VLOOKUP(B125,TIPO_UNIDAD,2,FALSE),1))</f>
        <v/>
      </c>
      <c r="I125" s="23">
        <f>IF(OR(A125="",B125=""),"",IF(B125="Activity",D125*(E125/100)*(1+N(F125)+N(G125)),D125*(E125/100)*H125))</f>
        <v/>
      </c>
    </row>
    <row r="126" ht="18" customHeight="1">
      <c r="A126" s="18" t="n"/>
      <c r="B126" s="18" t="n"/>
      <c r="C126" s="18" t="n"/>
      <c r="D126" s="20" t="n"/>
      <c r="E126" s="21" t="n"/>
      <c r="F126" s="20" t="n"/>
      <c r="G126" s="20" t="n"/>
      <c r="H126" s="7">
        <f>IF(B126="","",IFERROR(VLOOKUP(B126,TIPO_UNIDAD,2,FALSE),1))</f>
        <v/>
      </c>
      <c r="I126" s="23">
        <f>IF(OR(A126="",B126=""),"",IF(B126="Activity",D126*(E126/100)*(1+N(F126)+N(G126)),D126*(E126/100)*H126))</f>
        <v/>
      </c>
    </row>
    <row r="127" ht="18" customHeight="1">
      <c r="A127" s="18" t="n"/>
      <c r="B127" s="18" t="n"/>
      <c r="C127" s="18" t="n"/>
      <c r="D127" s="20" t="n"/>
      <c r="E127" s="21" t="n"/>
      <c r="F127" s="20" t="n"/>
      <c r="G127" s="20" t="n"/>
      <c r="H127" s="7">
        <f>IF(B127="","",IFERROR(VLOOKUP(B127,TIPO_UNIDAD,2,FALSE),1))</f>
        <v/>
      </c>
      <c r="I127" s="23">
        <f>IF(OR(A127="",B127=""),"",IF(B127="Activity",D127*(E127/100)*(1+N(F127)+N(G127)),D127*(E127/100)*H127))</f>
        <v/>
      </c>
    </row>
    <row r="128" ht="18" customHeight="1">
      <c r="A128" s="18" t="n"/>
      <c r="B128" s="18" t="n"/>
      <c r="C128" s="18" t="n"/>
      <c r="D128" s="20" t="n"/>
      <c r="E128" s="21" t="n"/>
      <c r="F128" s="20" t="n"/>
      <c r="G128" s="20" t="n"/>
      <c r="H128" s="7">
        <f>IF(B128="","",IFERROR(VLOOKUP(B128,TIPO_UNIDAD,2,FALSE),1))</f>
        <v/>
      </c>
      <c r="I128" s="23">
        <f>IF(OR(A128="",B128=""),"",IF(B128="Activity",D128*(E128/100)*(1+N(F128)+N(G128)),D128*(E128/100)*H128))</f>
        <v/>
      </c>
    </row>
    <row r="129" ht="18" customHeight="1">
      <c r="A129" s="18" t="n"/>
      <c r="B129" s="18" t="n"/>
      <c r="C129" s="18" t="n"/>
      <c r="D129" s="20" t="n"/>
      <c r="E129" s="21" t="n"/>
      <c r="F129" s="20" t="n"/>
      <c r="G129" s="20" t="n"/>
      <c r="H129" s="7">
        <f>IF(B129="","",IFERROR(VLOOKUP(B129,TIPO_UNIDAD,2,FALSE),1))</f>
        <v/>
      </c>
      <c r="I129" s="23">
        <f>IF(OR(A129="",B129=""),"",IF(B129="Activity",D129*(E129/100)*(1+N(F129)+N(G129)),D129*(E129/100)*H129))</f>
        <v/>
      </c>
    </row>
    <row r="130" ht="18" customHeight="1">
      <c r="A130" s="18" t="n"/>
      <c r="B130" s="18" t="n"/>
      <c r="C130" s="18" t="n"/>
      <c r="D130" s="20" t="n"/>
      <c r="E130" s="21" t="n"/>
      <c r="F130" s="20" t="n"/>
      <c r="G130" s="20" t="n"/>
      <c r="H130" s="7">
        <f>IF(B130="","",IFERROR(VLOOKUP(B130,TIPO_UNIDAD,2,FALSE),1))</f>
        <v/>
      </c>
      <c r="I130" s="23">
        <f>IF(OR(A130="",B130=""),"",IF(B130="Activity",D130*(E130/100)*(1+N(F130)+N(G130)),D130*(E130/100)*H130))</f>
        <v/>
      </c>
    </row>
    <row r="131" ht="18" customHeight="1">
      <c r="A131" s="18" t="n"/>
      <c r="B131" s="18" t="n"/>
      <c r="C131" s="18" t="n"/>
      <c r="D131" s="20" t="n"/>
      <c r="E131" s="21" t="n"/>
      <c r="F131" s="20" t="n"/>
      <c r="G131" s="20" t="n"/>
      <c r="H131" s="7">
        <f>IF(B131="","",IFERROR(VLOOKUP(B131,TIPO_UNIDAD,2,FALSE),1))</f>
        <v/>
      </c>
      <c r="I131" s="23">
        <f>IF(OR(A131="",B131=""),"",IF(B131="Activity",D131*(E131/100)*(1+N(F131)+N(G131)),D131*(E131/100)*H131))</f>
        <v/>
      </c>
    </row>
    <row r="132" ht="18" customHeight="1">
      <c r="A132" s="18" t="n"/>
      <c r="B132" s="18" t="n"/>
      <c r="C132" s="18" t="n"/>
      <c r="D132" s="20" t="n"/>
      <c r="E132" s="21" t="n"/>
      <c r="F132" s="20" t="n"/>
      <c r="G132" s="20" t="n"/>
      <c r="H132" s="7">
        <f>IF(B132="","",IFERROR(VLOOKUP(B132,TIPO_UNIDAD,2,FALSE),1))</f>
        <v/>
      </c>
      <c r="I132" s="23">
        <f>IF(OR(A132="",B132=""),"",IF(B132="Activity",D132*(E132/100)*(1+N(F132)+N(G132)),D132*(E132/100)*H132))</f>
        <v/>
      </c>
    </row>
    <row r="133" ht="18" customHeight="1">
      <c r="A133" s="18" t="n"/>
      <c r="B133" s="18" t="n"/>
      <c r="C133" s="18" t="n"/>
      <c r="D133" s="20" t="n"/>
      <c r="E133" s="21" t="n"/>
      <c r="F133" s="20" t="n"/>
      <c r="G133" s="20" t="n"/>
      <c r="H133" s="7">
        <f>IF(B133="","",IFERROR(VLOOKUP(B133,TIPO_UNIDAD,2,FALSE),1))</f>
        <v/>
      </c>
      <c r="I133" s="23">
        <f>IF(OR(A133="",B133=""),"",IF(B133="Activity",D133*(E133/100)*(1+N(F133)+N(G133)),D133*(E133/100)*H133))</f>
        <v/>
      </c>
    </row>
    <row r="134" ht="18" customHeight="1">
      <c r="A134" s="18" t="n"/>
      <c r="B134" s="18" t="n"/>
      <c r="C134" s="18" t="n"/>
      <c r="D134" s="20" t="n"/>
      <c r="E134" s="21" t="n"/>
      <c r="F134" s="20" t="n"/>
      <c r="G134" s="20" t="n"/>
      <c r="H134" s="7">
        <f>IF(B134="","",IFERROR(VLOOKUP(B134,TIPO_UNIDAD,2,FALSE),1))</f>
        <v/>
      </c>
      <c r="I134" s="23">
        <f>IF(OR(A134="",B134=""),"",IF(B134="Activity",D134*(E134/100)*(1+N(F134)+N(G134)),D134*(E134/100)*H134))</f>
        <v/>
      </c>
    </row>
    <row r="135" ht="18" customHeight="1">
      <c r="A135" s="18" t="n"/>
      <c r="B135" s="18" t="n"/>
      <c r="C135" s="18" t="n"/>
      <c r="D135" s="20" t="n"/>
      <c r="E135" s="21" t="n"/>
      <c r="F135" s="20" t="n"/>
      <c r="G135" s="20" t="n"/>
      <c r="H135" s="7">
        <f>IF(B135="","",IFERROR(VLOOKUP(B135,TIPO_UNIDAD,2,FALSE),1))</f>
        <v/>
      </c>
      <c r="I135" s="23">
        <f>IF(OR(A135="",B135=""),"",IF(B135="Activity",D135*(E135/100)*(1+N(F135)+N(G135)),D135*(E135/100)*H135))</f>
        <v/>
      </c>
    </row>
    <row r="136" ht="18" customHeight="1">
      <c r="A136" s="18" t="n"/>
      <c r="B136" s="18" t="n"/>
      <c r="C136" s="18" t="n"/>
      <c r="D136" s="20" t="n"/>
      <c r="E136" s="21" t="n"/>
      <c r="F136" s="20" t="n"/>
      <c r="G136" s="20" t="n"/>
      <c r="H136" s="7">
        <f>IF(B136="","",IFERROR(VLOOKUP(B136,TIPO_UNIDAD,2,FALSE),1))</f>
        <v/>
      </c>
      <c r="I136" s="23">
        <f>IF(OR(A136="",B136=""),"",IF(B136="Activity",D136*(E136/100)*(1+N(F136)+N(G136)),D136*(E136/100)*H136))</f>
        <v/>
      </c>
    </row>
    <row r="137" ht="18" customHeight="1">
      <c r="A137" s="18" t="n"/>
      <c r="B137" s="18" t="n"/>
      <c r="C137" s="18" t="n"/>
      <c r="D137" s="20" t="n"/>
      <c r="E137" s="21" t="n"/>
      <c r="F137" s="20" t="n"/>
      <c r="G137" s="20" t="n"/>
      <c r="H137" s="7">
        <f>IF(B137="","",IFERROR(VLOOKUP(B137,TIPO_UNIDAD,2,FALSE),1))</f>
        <v/>
      </c>
      <c r="I137" s="23">
        <f>IF(OR(A137="",B137=""),"",IF(B137="Activity",D137*(E137/100)*(1+N(F137)+N(G137)),D137*(E137/100)*H137))</f>
        <v/>
      </c>
    </row>
    <row r="138" ht="18" customHeight="1">
      <c r="A138" s="18" t="n"/>
      <c r="B138" s="18" t="n"/>
      <c r="C138" s="18" t="n"/>
      <c r="D138" s="20" t="n"/>
      <c r="E138" s="21" t="n"/>
      <c r="F138" s="20" t="n"/>
      <c r="G138" s="20" t="n"/>
      <c r="H138" s="7">
        <f>IF(B138="","",IFERROR(VLOOKUP(B138,TIPO_UNIDAD,2,FALSE),1))</f>
        <v/>
      </c>
      <c r="I138" s="23">
        <f>IF(OR(A138="",B138=""),"",IF(B138="Activity",D138*(E138/100)*(1+N(F138)+N(G138)),D138*(E138/100)*H138))</f>
        <v/>
      </c>
    </row>
    <row r="139" ht="18" customHeight="1">
      <c r="A139" s="18" t="n"/>
      <c r="B139" s="18" t="n"/>
      <c r="C139" s="18" t="n"/>
      <c r="D139" s="20" t="n"/>
      <c r="E139" s="21" t="n"/>
      <c r="F139" s="20" t="n"/>
      <c r="G139" s="20" t="n"/>
      <c r="H139" s="7">
        <f>IF(B139="","",IFERROR(VLOOKUP(B139,TIPO_UNIDAD,2,FALSE),1))</f>
        <v/>
      </c>
      <c r="I139" s="23">
        <f>IF(OR(A139="",B139=""),"",IF(B139="Activity",D139*(E139/100)*(1+N(F139)+N(G139)),D139*(E139/100)*H139))</f>
        <v/>
      </c>
    </row>
    <row r="140" ht="18" customHeight="1">
      <c r="A140" s="18" t="n"/>
      <c r="B140" s="18" t="n"/>
      <c r="C140" s="18" t="n"/>
      <c r="D140" s="20" t="n"/>
      <c r="E140" s="21" t="n"/>
      <c r="F140" s="20" t="n"/>
      <c r="G140" s="20" t="n"/>
      <c r="H140" s="7">
        <f>IF(B140="","",IFERROR(VLOOKUP(B140,TIPO_UNIDAD,2,FALSE),1))</f>
        <v/>
      </c>
      <c r="I140" s="23">
        <f>IF(OR(A140="",B140=""),"",IF(B140="Activity",D140*(E140/100)*(1+N(F140)+N(G140)),D140*(E140/100)*H140))</f>
        <v/>
      </c>
    </row>
    <row r="141" ht="18" customHeight="1">
      <c r="A141" s="18" t="n"/>
      <c r="B141" s="18" t="n"/>
      <c r="C141" s="18" t="n"/>
      <c r="D141" s="20" t="n"/>
      <c r="E141" s="21" t="n"/>
      <c r="F141" s="20" t="n"/>
      <c r="G141" s="20" t="n"/>
      <c r="H141" s="7">
        <f>IF(B141="","",IFERROR(VLOOKUP(B141,TIPO_UNIDAD,2,FALSE),1))</f>
        <v/>
      </c>
      <c r="I141" s="23">
        <f>IF(OR(A141="",B141=""),"",IF(B141="Activity",D141*(E141/100)*(1+N(F141)+N(G141)),D141*(E141/100)*H141))</f>
        <v/>
      </c>
    </row>
    <row r="142" ht="18" customHeight="1">
      <c r="A142" s="18" t="n"/>
      <c r="B142" s="18" t="n"/>
      <c r="C142" s="18" t="n"/>
      <c r="D142" s="20" t="n"/>
      <c r="E142" s="21" t="n"/>
      <c r="F142" s="20" t="n"/>
      <c r="G142" s="20" t="n"/>
      <c r="H142" s="7">
        <f>IF(B142="","",IFERROR(VLOOKUP(B142,TIPO_UNIDAD,2,FALSE),1))</f>
        <v/>
      </c>
      <c r="I142" s="23">
        <f>IF(OR(A142="",B142=""),"",IF(B142="Activity",D142*(E142/100)*(1+N(F142)+N(G142)),D142*(E142/100)*H142))</f>
        <v/>
      </c>
    </row>
    <row r="143" ht="18" customHeight="1">
      <c r="A143" s="18" t="n"/>
      <c r="B143" s="18" t="n"/>
      <c r="C143" s="18" t="n"/>
      <c r="D143" s="20" t="n"/>
      <c r="E143" s="21" t="n"/>
      <c r="F143" s="20" t="n"/>
      <c r="G143" s="20" t="n"/>
      <c r="H143" s="7">
        <f>IF(B143="","",IFERROR(VLOOKUP(B143,TIPO_UNIDAD,2,FALSE),1))</f>
        <v/>
      </c>
      <c r="I143" s="23">
        <f>IF(OR(A143="",B143=""),"",IF(B143="Activity",D143*(E143/100)*(1+N(F143)+N(G143)),D143*(E143/100)*H143))</f>
        <v/>
      </c>
    </row>
    <row r="144" ht="18" customHeight="1">
      <c r="A144" s="18" t="n"/>
      <c r="B144" s="18" t="n"/>
      <c r="C144" s="18" t="n"/>
      <c r="D144" s="20" t="n"/>
      <c r="E144" s="21" t="n"/>
      <c r="F144" s="20" t="n"/>
      <c r="G144" s="20" t="n"/>
      <c r="H144" s="7">
        <f>IF(B144="","",IFERROR(VLOOKUP(B144,TIPO_UNIDAD,2,FALSE),1))</f>
        <v/>
      </c>
      <c r="I144" s="23">
        <f>IF(OR(A144="",B144=""),"",IF(B144="Activity",D144*(E144/100)*(1+N(F144)+N(G144)),D144*(E144/100)*H144))</f>
        <v/>
      </c>
    </row>
    <row r="145" ht="18" customHeight="1">
      <c r="A145" s="18" t="n"/>
      <c r="B145" s="18" t="n"/>
      <c r="C145" s="18" t="n"/>
      <c r="D145" s="20" t="n"/>
      <c r="E145" s="21" t="n"/>
      <c r="F145" s="20" t="n"/>
      <c r="G145" s="20" t="n"/>
      <c r="H145" s="7">
        <f>IF(B145="","",IFERROR(VLOOKUP(B145,TIPO_UNIDAD,2,FALSE),1))</f>
        <v/>
      </c>
      <c r="I145" s="23">
        <f>IF(OR(A145="",B145=""),"",IF(B145="Activity",D145*(E145/100)*(1+N(F145)+N(G145)),D145*(E145/100)*H145))</f>
        <v/>
      </c>
    </row>
    <row r="146" ht="18" customHeight="1">
      <c r="A146" s="18" t="n"/>
      <c r="B146" s="18" t="n"/>
      <c r="C146" s="18" t="n"/>
      <c r="D146" s="20" t="n"/>
      <c r="E146" s="21" t="n"/>
      <c r="F146" s="20" t="n"/>
      <c r="G146" s="20" t="n"/>
      <c r="H146" s="7">
        <f>IF(B146="","",IFERROR(VLOOKUP(B146,TIPO_UNIDAD,2,FALSE),1))</f>
        <v/>
      </c>
      <c r="I146" s="23">
        <f>IF(OR(A146="",B146=""),"",IF(B146="Activity",D146*(E146/100)*(1+N(F146)+N(G146)),D146*(E146/100)*H146))</f>
        <v/>
      </c>
    </row>
    <row r="147" ht="18" customHeight="1">
      <c r="A147" s="18" t="n"/>
      <c r="B147" s="18" t="n"/>
      <c r="C147" s="18" t="n"/>
      <c r="D147" s="20" t="n"/>
      <c r="E147" s="21" t="n"/>
      <c r="F147" s="20" t="n"/>
      <c r="G147" s="20" t="n"/>
      <c r="H147" s="7">
        <f>IF(B147="","",IFERROR(VLOOKUP(B147,TIPO_UNIDAD,2,FALSE),1))</f>
        <v/>
      </c>
      <c r="I147" s="23">
        <f>IF(OR(A147="",B147=""),"",IF(B147="Activity",D147*(E147/100)*(1+N(F147)+N(G147)),D147*(E147/100)*H147))</f>
        <v/>
      </c>
    </row>
    <row r="148" ht="18" customHeight="1">
      <c r="A148" s="18" t="n"/>
      <c r="B148" s="18" t="n"/>
      <c r="C148" s="18" t="n"/>
      <c r="D148" s="20" t="n"/>
      <c r="E148" s="21" t="n"/>
      <c r="F148" s="20" t="n"/>
      <c r="G148" s="20" t="n"/>
      <c r="H148" s="7">
        <f>IF(B148="","",IFERROR(VLOOKUP(B148,TIPO_UNIDAD,2,FALSE),1))</f>
        <v/>
      </c>
      <c r="I148" s="23">
        <f>IF(OR(A148="",B148=""),"",IF(B148="Activity",D148*(E148/100)*(1+N(F148)+N(G148)),D148*(E148/100)*H148))</f>
        <v/>
      </c>
    </row>
    <row r="149" ht="18" customHeight="1">
      <c r="A149" s="18" t="n"/>
      <c r="B149" s="18" t="n"/>
      <c r="C149" s="18" t="n"/>
      <c r="D149" s="20" t="n"/>
      <c r="E149" s="21" t="n"/>
      <c r="F149" s="20" t="n"/>
      <c r="G149" s="20" t="n"/>
      <c r="H149" s="7">
        <f>IF(B149="","",IFERROR(VLOOKUP(B149,TIPO_UNIDAD,2,FALSE),1))</f>
        <v/>
      </c>
      <c r="I149" s="23">
        <f>IF(OR(A149="",B149=""),"",IF(B149="Activity",D149*(E149/100)*(1+N(F149)+N(G149)),D149*(E149/100)*H149))</f>
        <v/>
      </c>
    </row>
    <row r="150" ht="18" customHeight="1">
      <c r="A150" s="18" t="n"/>
      <c r="B150" s="18" t="n"/>
      <c r="C150" s="18" t="n"/>
      <c r="D150" s="20" t="n"/>
      <c r="E150" s="21" t="n"/>
      <c r="F150" s="20" t="n"/>
      <c r="G150" s="20" t="n"/>
      <c r="H150" s="7">
        <f>IF(B150="","",IFERROR(VLOOKUP(B150,TIPO_UNIDAD,2,FALSE),1))</f>
        <v/>
      </c>
      <c r="I150" s="23">
        <f>IF(OR(A150="",B150=""),"",IF(B150="Activity",D150*(E150/100)*(1+N(F150)+N(G150)),D150*(E150/100)*H150))</f>
        <v/>
      </c>
    </row>
    <row r="151" ht="18" customHeight="1">
      <c r="A151" s="18" t="n"/>
      <c r="B151" s="18" t="n"/>
      <c r="C151" s="18" t="n"/>
      <c r="D151" s="20" t="n"/>
      <c r="E151" s="21" t="n"/>
      <c r="F151" s="20" t="n"/>
      <c r="G151" s="20" t="n"/>
      <c r="H151" s="7">
        <f>IF(B151="","",IFERROR(VLOOKUP(B151,TIPO_UNIDAD,2,FALSE),1))</f>
        <v/>
      </c>
      <c r="I151" s="23">
        <f>IF(OR(A151="",B151=""),"",IF(B151="Activity",D151*(E151/100)*(1+N(F151)+N(G151)),D151*(E151/100)*H151))</f>
        <v/>
      </c>
    </row>
  </sheetData>
  <autoFilter ref="A1:I151"/>
  <dataValidations count="2">
    <dataValidation sqref="A2:A151" showDropDown="0" showInputMessage="0" showErrorMessage="0" allowBlank="1" errorTitle="Workflow" error="Elige un nombre de la hoja Workflows" type="list">
      <formula1>=WF_NAMES</formula1>
    </dataValidation>
    <dataValidation sqref="B2:B151" showDropDown="0" showInputMessage="0" showErrorMessage="0" allowBlank="1" errorTitle="Tipo" error="Elige un tipo de la hoja Listas" type="list">
      <formula1>=TIPOS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55EEF"/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6" customWidth="1" min="1" max="1"/>
    <col width="52" customWidth="1" min="2" max="2"/>
    <col width="28" customWidth="1" min="3" max="3"/>
    <col width="72" customWidth="1" min="4" max="4"/>
  </cols>
  <sheetData>
    <row r="1">
      <c r="A1" s="1" t="inlineStr">
        <is>
          <t>Catálogo oficial de Actions (referencia, no input)</t>
        </is>
      </c>
    </row>
    <row r="3">
      <c r="A3" s="2" t="inlineStr">
        <is>
          <t>En la calculadora</t>
        </is>
      </c>
      <c r="B3" s="2" t="inlineStr">
        <is>
          <t>Usage / metric name</t>
        </is>
      </c>
      <c r="C3" s="2" t="inlineStr">
        <is>
          <t>Actions</t>
        </is>
      </c>
      <c r="D3" s="2" t="inlineStr">
        <is>
          <t>Nota oficial</t>
        </is>
      </c>
    </row>
    <row r="4" ht="32" customHeight="1">
      <c r="A4" s="3" t="inlineStr">
        <is>
          <t>Origen Cliente</t>
        </is>
      </c>
      <c r="B4" s="3" t="inlineStr">
        <is>
          <t>start_workflow</t>
        </is>
      </c>
      <c r="C4" s="3" t="inlineStr">
        <is>
          <t>1</t>
        </is>
      </c>
      <c r="D4" s="3" t="inlineStr">
        <is>
          <t>Start vía client. Dedup por Workflow ID no cuenta.</t>
        </is>
      </c>
    </row>
    <row r="5" ht="32" customHeight="1">
      <c r="A5" s="3" t="inlineStr">
        <is>
          <t>Origen Signal-With-Start</t>
        </is>
      </c>
      <c r="B5" s="3" t="inlineStr">
        <is>
          <t>signal_workflow_with_start</t>
        </is>
      </c>
      <c r="C5" s="3" t="inlineStr">
        <is>
          <t>1</t>
        </is>
      </c>
      <c r="D5" s="3" t="inlineStr">
        <is>
          <t>Un Action total, arranque o no.</t>
        </is>
      </c>
    </row>
    <row r="6" ht="32" customHeight="1">
      <c r="A6" s="3" t="inlineStr">
        <is>
          <t>Origen Schedule</t>
        </is>
      </c>
      <c r="B6" s="3" t="inlineStr">
        <is>
          <t>schedule start + start_workflow</t>
        </is>
      </c>
      <c r="C6" s="3" t="inlineStr">
        <is>
          <t>3</t>
        </is>
      </c>
      <c r="D6" s="3" t="inlineStr">
        <is>
          <t>Schedule Start cuenta 2; el workflow 1.</t>
        </is>
      </c>
    </row>
    <row r="7" ht="32" customHeight="1">
      <c r="A7" s="3" t="inlineStr">
        <is>
          <t>Activity</t>
        </is>
      </c>
      <c r="B7" s="3" t="inlineStr">
        <is>
          <t>schedule_activity + retry_activity + record_activity_heartbeat</t>
        </is>
      </c>
      <c r="C7" s="3" t="inlineStr">
        <is>
          <t>1 + retries + HB</t>
        </is>
      </c>
      <c r="D7" s="3" t="inlineStr">
        <is>
          <t>HB solo si llega al server. SDK throttle ~80% del timeout.</t>
        </is>
      </c>
    </row>
    <row r="8" ht="32" customHeight="1">
      <c r="A8" s="3" t="inlineStr">
        <is>
          <t>Local Activities (1 por WFT)</t>
        </is>
      </c>
      <c r="B8" s="3" t="inlineStr">
        <is>
          <t>record_activity_markers</t>
        </is>
      </c>
      <c r="C8" s="3" t="inlineStr">
        <is>
          <t>1 por Workflow Task</t>
        </is>
      </c>
      <c r="D8" s="3" t="inlineStr">
        <is>
          <t>N Local Activities del mismo WFT = 1 Action.</t>
        </is>
      </c>
    </row>
    <row r="9" ht="32" customHeight="1">
      <c r="A9" s="3" t="inlineStr">
        <is>
          <t>Timer / timeout SDK</t>
        </is>
      </c>
      <c r="B9" s="3" t="inlineStr">
        <is>
          <t>start_timer</t>
        </is>
      </c>
      <c r="C9" s="3" t="inlineStr">
        <is>
          <t>1</t>
        </is>
      </c>
      <c r="D9" s="3" t="inlineStr">
        <is>
          <t>Incluye AwaitWithTimeout / condition.</t>
        </is>
      </c>
    </row>
    <row r="10" ht="32" customHeight="1">
      <c r="A10" s="3" t="inlineStr">
        <is>
          <t>Signal</t>
        </is>
      </c>
      <c r="B10" s="3" t="inlineStr">
        <is>
          <t>signal_workflow</t>
        </is>
      </c>
      <c r="C10" s="3" t="inlineStr">
        <is>
          <t>1</t>
        </is>
      </c>
      <c r="D10" s="3" t="inlineStr">
        <is>
          <t>Client o workflow.</t>
        </is>
      </c>
    </row>
    <row r="11" ht="32" customHeight="1">
      <c r="A11" s="3" t="inlineStr">
        <is>
          <t>Signal externo</t>
        </is>
      </c>
      <c r="B11" s="3" t="inlineStr">
        <is>
          <t>signal_external_workflow</t>
        </is>
      </c>
      <c r="C11" s="3" t="inlineStr">
        <is>
          <t>1</t>
        </is>
      </c>
      <c r="D11" s="3" t="inlineStr">
        <is>
          <t>En el history del signaled.</t>
        </is>
      </c>
    </row>
    <row r="12" ht="32" customHeight="1">
      <c r="A12" s="3" t="inlineStr">
        <is>
          <t>Query</t>
        </is>
      </c>
      <c r="B12" s="3" t="inlineStr">
        <is>
          <t>query_workflow</t>
        </is>
      </c>
      <c r="C12" s="3" t="inlineStr">
        <is>
          <t>1</t>
        </is>
      </c>
      <c r="D12" s="3" t="inlineStr">
        <is>
          <t>Incluye call stack en UI Cloud. __temporal_workflow_metadata excluida.</t>
        </is>
      </c>
    </row>
    <row r="13" ht="32" customHeight="1">
      <c r="A13" s="3" t="inlineStr">
        <is>
          <t>Update</t>
        </is>
      </c>
      <c r="B13" s="3" t="inlineStr">
        <is>
          <t>accept_workflow_update / reject_workflow_update</t>
        </is>
      </c>
      <c r="C13" s="3" t="inlineStr">
        <is>
          <t>1</t>
        </is>
      </c>
      <c r="D13" s="3" t="inlineStr">
        <is>
          <t>Dedup por Update ID no cuenta.</t>
        </is>
      </c>
    </row>
    <row r="14" ht="32" customHeight="1">
      <c r="A14" s="3" t="inlineStr">
        <is>
          <t>Child (hijo NO listado)</t>
        </is>
      </c>
      <c r="B14" s="3" t="inlineStr">
        <is>
          <t>start_child_workflow + start</t>
        </is>
      </c>
      <c r="C14" s="3" t="inlineStr">
        <is>
          <t>2</t>
        </is>
      </c>
      <c r="D14" s="3" t="inlineStr">
        <is>
          <t>Intent + intento de start. Si el hijo es otra fila, no uses este tipo.</t>
        </is>
      </c>
    </row>
    <row r="15" ht="32" customHeight="1">
      <c r="A15" s="3" t="inlineStr">
        <is>
          <t>Continue-As-New</t>
        </is>
      </c>
      <c r="B15" s="3" t="inlineStr">
        <is>
          <t>continue_as_new_workflow</t>
        </is>
      </c>
      <c r="C15" s="3" t="inlineStr">
        <is>
          <t>1</t>
        </is>
      </c>
      <c r="D15" s="3" t="inlineStr">
        <is>
          <t>El nuevo run también tiene su start.</t>
        </is>
      </c>
    </row>
    <row r="16" ht="32" customHeight="1">
      <c r="A16" s="3" t="inlineStr">
        <is>
          <t>Upsert Search Attributes</t>
        </is>
      </c>
      <c r="B16" s="3" t="inlineStr">
        <is>
          <t>upsert_workflow_search_attributes</t>
        </is>
      </c>
      <c r="C16" s="3" t="inlineStr">
        <is>
          <t>1 por comando</t>
        </is>
      </c>
      <c r="D16" s="3" t="inlineStr">
        <is>
          <t>Varios SA en un comando = 1. SA al start no cuentan.</t>
        </is>
      </c>
    </row>
    <row r="17" ht="32" customHeight="1">
      <c r="A17" s="3" t="inlineStr">
        <is>
          <t>Nexus Operation (caller)</t>
        </is>
      </c>
      <c r="B17" s="3" t="inlineStr">
        <is>
          <t>schedule_nexus_operation</t>
        </is>
      </c>
      <c r="C17" s="3" t="inlineStr">
        <is>
          <t>1 en caller</t>
        </is>
      </c>
      <c r="D17" s="3" t="inlineStr">
        <is>
          <t>El handler factura sus primitives aparte.</t>
        </is>
      </c>
    </row>
    <row r="18" ht="32" customHeight="1">
      <c r="A18" s="3" t="inlineStr">
        <is>
          <t>WFT Heartbeat (LA largas)</t>
        </is>
      </c>
      <c r="B18" s="3" t="inlineStr">
        <is>
          <t>record_workflow_heartbeat</t>
        </is>
      </c>
      <c r="C18" s="3" t="inlineStr">
        <is>
          <t>1</t>
        </is>
      </c>
      <c r="D18" s="3" t="inlineStr">
        <is>
          <t>Local Activities largas que latean el WFT.</t>
        </is>
      </c>
    </row>
    <row r="19" ht="32" customHeight="1">
      <c r="A19" s="3" t="inlineStr">
        <is>
          <t>Replay</t>
        </is>
      </c>
      <c r="B19" s="3" t="inlineStr">
        <is>
          <t>—</t>
        </is>
      </c>
      <c r="C19" s="3" t="inlineStr">
        <is>
          <t>0</t>
        </is>
      </c>
      <c r="D19" s="3" t="inlineStr">
        <is>
          <t>No factura. Solo worker.</t>
        </is>
      </c>
    </row>
    <row r="21">
      <c r="A21" s="24" t="inlineStr">
        <is>
          <t>https://docs.temporal.io/cloud/actions</t>
        </is>
      </c>
    </row>
    <row r="22">
      <c r="A22" s="24" t="inlineStr">
        <is>
          <t>https://docs.temporal.io/cloud/pricing</t>
        </is>
      </c>
    </row>
  </sheetData>
  <mergeCells count="1">
    <mergeCell ref="A1:D1"/>
  </mergeCells>
  <hyperlinks>
    <hyperlink xmlns:r="http://schemas.openxmlformats.org/officeDocument/2006/relationships" ref="A21" r:id="rId1"/>
    <hyperlink xmlns:r="http://schemas.openxmlformats.org/officeDocument/2006/relationships" ref="A22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2026-10-29T03:35:25Z</dcterms:created>
  <dcterms:modified xsi:type="dcterms:W3CDTF">2026-10-29T03:35:25Z</dcterms:modified>
</cp:coreProperties>
</file>